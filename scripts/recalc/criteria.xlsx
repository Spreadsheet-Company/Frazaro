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worksheets/frazaro_3.xml" ContentType="application/vnd.openxmlformats-officedocument.spreadsheetml.worksheet+xml"/>
  <Override PartName="/xl/worksheets/frazaro_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razaro" sheetId="1" r:id="rIdFrazaro1"/>
    <sheet name="data" sheetId="2" r:id="rIdFrazaro2"/>
    <sheet name="far" sheetId="3" r:id="rIdFrazaro3"/>
    <sheet name="functions" sheetId="4" r:id="rIdFrazaro4"/>
  </sheets>
  <definedNames>
    <definedName name="Frazaro.Build">"Frazaro 0.10.1; sentences sha256:138075AC550A1B633D15EC6AE2C614120C6BB0306A1E45164285D1C86375FAAA over 16696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2" Type="http://schemas.openxmlformats.org/officeDocument/2006/relationships/worksheet" Target="worksheets/frazaro_2.xml"/>
<Relationship Id="rIdFrazaro3" Type="http://schemas.openxmlformats.org/officeDocument/2006/relationships/worksheet" Target="worksheets/frazaro_3.xml"/>
<Relationship Id="rIdFrazaro4" Type="http://schemas.openxmlformats.org/officeDocument/2006/relationships/worksheet" Target="worksheets/frazaro_4.xml"/>
<Relationship Id="rIdFrazaroStyles" Type="http://schemas.openxmlformats.org/officeDocument/2006/relationships/styles" Target="styles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B1:C402"/>
  <sheetViews>
    <sheetView showGridLines="0" tabSelected="1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1"/>
    <col min="3" max="3" width="60.7109375" customWidth="1" style="2"/>
  </cols>
  <sheetData>
    <row r="1">
      <c r="B1" s="1" t="inlineStr">
        <is>
          <t xml:space="preserve"># The aggregates by criteria's fixture (KERNEL.8, slice e): a Data sheet of twelve records under names in row 1 (an</t>
        </is>
      </c>
      <c r="C1" s="3" t="inlineStr">
        <is>
          <t xml:space="preserve">OK</t>
        </is>
      </c>
    </row>
    <row r="2">
      <c r="B2" s="1" t="inlineStr">
        <is>
          <t xml:space="preserve"># account, one blank and one in lower case; a month, one a text spelling 3; a region, its cases mixed; an amount; a</t>
        </is>
      </c>
      <c r="C2" s="3" t="inlineStr">
        <is>
          <t xml:space="preserve">OK</t>
        </is>
      </c>
    </row>
    <row r="3">
      <c r="B3" s="1" t="inlineStr">
        <is>
          <t xml:space="preserve"># quantity; a note of wildcards, an empty text, texts beginning alike and texts spelling numbers; a mixed column of a</t>
        </is>
      </c>
      <c r="C3" s="3" t="inlineStr">
        <is>
          <t xml:space="preserve">OK</t>
        </is>
      </c>
    </row>
    <row r="4">
      <c r="B4" s="1" t="inlineStr">
        <is>
          <t xml:space="preserve"># truth value, a text spelling 5, two errors and a blank; a day), criteria ranges for the database functions in K</t>
        </is>
      </c>
      <c r="C4" s="3" t="inlineStr">
        <is>
          <t xml:space="preserve">OK</t>
        </is>
      </c>
    </row>
    <row r="5">
      <c r="B5" s="1" t="inlineStr">
        <is>
          <t xml:space="preserve"># to AL, and a SUBTOTAL among the cells it sums in X; a Far sheet of three keys and a cell below them in another</t>
        </is>
      </c>
      <c r="C5" s="3" t="inlineStr">
        <is>
          <t xml:space="preserve">OK</t>
        </is>
      </c>
    </row>
    <row r="6">
      <c r="B6" s="1" t="inlineStr">
        <is>
          <t xml:space="preserve"># column; and a Functions sheet of one formula a function and a rule: the aggregates and their newer names, SUBTOTAL</t>
        </is>
      </c>
      <c r="C6" s="3" t="inlineStr">
        <is>
          <t xml:space="preserve">OK</t>
        </is>
      </c>
    </row>
    <row r="7">
      <c r="B7" s="1" t="inlineStr">
        <is>
          <t xml:space="preserve"># by every number, SUMIFS, COUNTIFS, AVERAGEIF, AVERAGEIFS, MAXIFS and MINIFS, and the twelve database functions,</t>
        </is>
      </c>
      <c r="C7" s="3" t="inlineStr">
        <is>
          <t xml:space="preserve">OK</t>
        </is>
      </c>
    </row>
    <row r="8">
      <c r="B8" s="1" t="inlineStr">
        <is>
          <t xml:space="preserve"># the edges Excel's documentation is silent on among them, and the reach of the rules Excel's first save settled.</t>
        </is>
      </c>
      <c r="C8" s="3" t="inlineStr">
        <is>
          <t xml:space="preserve">OK</t>
        </is>
      </c>
    </row>
    <row r="9">
      <c r="B9" s="1" t="inlineStr">
        <is>
          <t xml:space="preserve"># Built by frazaro into criteria.xlsx (each value it computes held). The owner hides the Data sheet's row 6 in</t>
        </is>
      </c>
      <c r="C9" s="3" t="inlineStr">
        <is>
          <t xml:space="preserve">OK</t>
        </is>
      </c>
    </row>
    <row r="10">
      <c r="B10" s="1" t="inlineStr">
        <is>
          <t xml:space="preserve"># Excel and saves it as criteria_saved.xlsx: SUBTOTAL's 101 to 111 pass that row by, and its 1 to 11 over it are</t>
        </is>
      </c>
      <c r="C10" s="3" t="inlineStr">
        <is>
          <t xml:space="preserve">OK</t>
        </is>
      </c>
    </row>
    <row r="11">
      <c r="B11" s="1" t="inlineStr">
        <is>
          <t xml:space="preserve"># labelled.</t>
        </is>
      </c>
      <c r="C11" s="3" t="inlineStr">
        <is>
          <t xml:space="preserve">OK</t>
        </is>
      </c>
    </row>
    <row r="13">
      <c r="B13" s="1" t="inlineStr">
        <is>
          <t xml:space="preserve">Work on sheet Data.</t>
        </is>
      </c>
      <c r="C13" s="3" t="inlineStr">
        <is>
          <t xml:space="preserve">OK</t>
        </is>
      </c>
    </row>
    <row r="14">
      <c r="B14" s="1" t="inlineStr">
        <is>
          <t xml:space="preserve">Put "Account" into cell A1.</t>
        </is>
      </c>
      <c r="C14" s="3" t="inlineStr">
        <is>
          <t xml:space="preserve">OK</t>
        </is>
      </c>
    </row>
    <row r="15">
      <c r="B15" s="1" t="inlineStr">
        <is>
          <t xml:space="preserve">Put "Month" into cell B1.</t>
        </is>
      </c>
      <c r="C15" s="3" t="inlineStr">
        <is>
          <t xml:space="preserve">OK</t>
        </is>
      </c>
    </row>
    <row r="16">
      <c r="B16" s="1" t="inlineStr">
        <is>
          <t xml:space="preserve">Put "Region" into cell C1.</t>
        </is>
      </c>
      <c r="C16" s="3" t="inlineStr">
        <is>
          <t xml:space="preserve">OK</t>
        </is>
      </c>
    </row>
    <row r="17">
      <c r="B17" s="1" t="inlineStr">
        <is>
          <t xml:space="preserve">Put "Amount" into cell D1.</t>
        </is>
      </c>
      <c r="C17" s="3" t="inlineStr">
        <is>
          <t xml:space="preserve">OK</t>
        </is>
      </c>
    </row>
    <row r="18">
      <c r="B18" s="1" t="inlineStr">
        <is>
          <t xml:space="preserve">Put "Qty" into cell E1.</t>
        </is>
      </c>
      <c r="C18" s="3" t="inlineStr">
        <is>
          <t xml:space="preserve">OK</t>
        </is>
      </c>
    </row>
    <row r="19">
      <c r="B19" s="1" t="inlineStr">
        <is>
          <t xml:space="preserve">Put "Note" into cell F1.</t>
        </is>
      </c>
      <c r="C19" s="3" t="inlineStr">
        <is>
          <t xml:space="preserve">OK</t>
        </is>
      </c>
    </row>
    <row r="20">
      <c r="B20" s="1" t="inlineStr">
        <is>
          <t xml:space="preserve">Put "Mixed" into cell G1.</t>
        </is>
      </c>
      <c r="C20" s="3" t="inlineStr">
        <is>
          <t xml:space="preserve">OK</t>
        </is>
      </c>
    </row>
    <row r="21">
      <c r="B21" s="1" t="inlineStr">
        <is>
          <t xml:space="preserve">Put "Day" into cell H1.</t>
        </is>
      </c>
      <c r="C21" s="3" t="inlineStr">
        <is>
          <t xml:space="preserve">OK</t>
        </is>
      </c>
    </row>
    <row r="22">
      <c r="B22" s="1" t="inlineStr">
        <is>
          <t xml:space="preserve">Put "Cash" into cell A2.</t>
        </is>
      </c>
      <c r="C22" s="3" t="inlineStr">
        <is>
          <t xml:space="preserve">OK</t>
        </is>
      </c>
    </row>
    <row r="23">
      <c r="B23" s="1" t="inlineStr">
        <is>
          <t xml:space="preserve">Put 1 into cell B2.</t>
        </is>
      </c>
      <c r="C23" s="3" t="inlineStr">
        <is>
          <t xml:space="preserve">OK</t>
        </is>
      </c>
    </row>
    <row r="24">
      <c r="B24" s="1" t="inlineStr">
        <is>
          <t xml:space="preserve">Put "East" into cell C2.</t>
        </is>
      </c>
      <c r="C24" s="3" t="inlineStr">
        <is>
          <t xml:space="preserve">OK</t>
        </is>
      </c>
    </row>
    <row r="25">
      <c r="B25" s="1" t="inlineStr">
        <is>
          <t xml:space="preserve">Put 100 into cell D2.</t>
        </is>
      </c>
      <c r="C25" s="3" t="inlineStr">
        <is>
          <t xml:space="preserve">OK</t>
        </is>
      </c>
    </row>
    <row r="26">
      <c r="B26" s="1" t="inlineStr">
        <is>
          <t xml:space="preserve">Put 5 into cell E2.</t>
        </is>
      </c>
      <c r="C26" s="3" t="inlineStr">
        <is>
          <t xml:space="preserve">OK</t>
        </is>
      </c>
    </row>
    <row r="27">
      <c r="B27" s="1" t="inlineStr">
        <is>
          <t xml:space="preserve">Put "plain" into cell F2.</t>
        </is>
      </c>
      <c r="C27" s="3" t="inlineStr">
        <is>
          <t xml:space="preserve">OK</t>
        </is>
      </c>
    </row>
    <row r="28">
      <c r="B28" s="1" t="inlineStr">
        <is>
          <t xml:space="preserve">Put 1 into cell G2.</t>
        </is>
      </c>
      <c r="C28" s="3" t="inlineStr">
        <is>
          <t xml:space="preserve">OK</t>
        </is>
      </c>
    </row>
    <row r="29">
      <c r="B29" s="1" t="inlineStr">
        <is>
          <t xml:space="preserve">Put 46023 into cell H2.</t>
        </is>
      </c>
      <c r="C29" s="3" t="inlineStr">
        <is>
          <t xml:space="preserve">OK</t>
        </is>
      </c>
    </row>
    <row r="30">
      <c r="B30" s="1" t="inlineStr">
        <is>
          <t xml:space="preserve">Put "Bank" into cell A3.</t>
        </is>
      </c>
      <c r="C30" s="3" t="inlineStr">
        <is>
          <t xml:space="preserve">OK</t>
        </is>
      </c>
    </row>
    <row r="31">
      <c r="B31" s="1" t="inlineStr">
        <is>
          <t xml:space="preserve">Put 1 into cell B3.</t>
        </is>
      </c>
      <c r="C31" s="3" t="inlineStr">
        <is>
          <t xml:space="preserve">OK</t>
        </is>
      </c>
    </row>
    <row r="32">
      <c r="B32" s="1" t="inlineStr">
        <is>
          <t xml:space="preserve">Put "West" into cell C3.</t>
        </is>
      </c>
      <c r="C32" s="3" t="inlineStr">
        <is>
          <t xml:space="preserve">OK</t>
        </is>
      </c>
    </row>
    <row r="33">
      <c r="B33" s="1" t="inlineStr">
        <is>
          <t xml:space="preserve">Put 250.5 into cell D3.</t>
        </is>
      </c>
      <c r="C33" s="3" t="inlineStr">
        <is>
          <t xml:space="preserve">OK</t>
        </is>
      </c>
    </row>
    <row r="34">
      <c r="B34" s="1" t="inlineStr">
        <is>
          <t xml:space="preserve">Put 3 into cell E3.</t>
        </is>
      </c>
      <c r="C34" s="3" t="inlineStr">
        <is>
          <t xml:space="preserve">OK</t>
        </is>
      </c>
    </row>
    <row r="35">
      <c r="B35" s="1" t="inlineStr">
        <is>
          <t xml:space="preserve">Put "a*b" into cell F3.</t>
        </is>
      </c>
      <c r="C35" s="3" t="inlineStr">
        <is>
          <t xml:space="preserve">OK</t>
        </is>
      </c>
    </row>
    <row r="36">
      <c r="B36" s="1" t="inlineStr">
        <is>
          <t xml:space="preserve">Put formula "=TRUE" into cell G3.</t>
        </is>
      </c>
      <c r="C36" s="3" t="inlineStr">
        <is>
          <t xml:space="preserve">OK</t>
        </is>
      </c>
    </row>
    <row r="37">
      <c r="B37" s="1" t="inlineStr">
        <is>
          <t xml:space="preserve">Put 46024 into cell H3.</t>
        </is>
      </c>
      <c r="C37" s="3" t="inlineStr">
        <is>
          <t xml:space="preserve">OK</t>
        </is>
      </c>
    </row>
    <row r="38">
      <c r="B38" s="1" t="inlineStr">
        <is>
          <t xml:space="preserve">Put "Cash" into cell A4.</t>
        </is>
      </c>
      <c r="C38" s="3" t="inlineStr">
        <is>
          <t xml:space="preserve">OK</t>
        </is>
      </c>
    </row>
    <row r="39">
      <c r="B39" s="1" t="inlineStr">
        <is>
          <t xml:space="preserve">Put 2 into cell B4.</t>
        </is>
      </c>
      <c r="C39" s="3" t="inlineStr">
        <is>
          <t xml:space="preserve">OK</t>
        </is>
      </c>
    </row>
    <row r="40">
      <c r="B40" s="1" t="inlineStr">
        <is>
          <t xml:space="preserve">Put "east" into cell C4.</t>
        </is>
      </c>
      <c r="C40" s="3" t="inlineStr">
        <is>
          <t xml:space="preserve">OK</t>
        </is>
      </c>
    </row>
    <row r="41">
      <c r="B41" s="1" t="inlineStr">
        <is>
          <t xml:space="preserve">Put 75 into cell D4.</t>
        </is>
      </c>
      <c r="C41" s="3" t="inlineStr">
        <is>
          <t xml:space="preserve">OK</t>
        </is>
      </c>
    </row>
    <row r="42">
      <c r="B42" s="1" t="inlineStr">
        <is>
          <t xml:space="preserve">Put 2 into cell E4.</t>
        </is>
      </c>
      <c r="C42" s="3" t="inlineStr">
        <is>
          <t xml:space="preserve">OK</t>
        </is>
      </c>
    </row>
    <row r="43">
      <c r="B43" s="1" t="inlineStr">
        <is>
          <t xml:space="preserve">Put "a?b" into cell F4.</t>
        </is>
      </c>
      <c r="C43" s="3" t="inlineStr">
        <is>
          <t xml:space="preserve">OK</t>
        </is>
      </c>
    </row>
    <row r="44">
      <c r="B44" s="1" t="inlineStr">
        <is>
          <t xml:space="preserve">Put "5" into cell G4.</t>
        </is>
      </c>
      <c r="C44" s="3" t="inlineStr">
        <is>
          <t xml:space="preserve">OK</t>
        </is>
      </c>
    </row>
    <row r="45">
      <c r="B45" s="1" t="inlineStr">
        <is>
          <t xml:space="preserve">Put 46054 into cell H4.</t>
        </is>
      </c>
      <c r="C45" s="3" t="inlineStr">
        <is>
          <t xml:space="preserve">OK</t>
        </is>
      </c>
    </row>
    <row r="46">
      <c r="B46" s="1" t="inlineStr">
        <is>
          <t xml:space="preserve">Put "Card" into cell A5.</t>
        </is>
      </c>
      <c r="C46" s="3" t="inlineStr">
        <is>
          <t xml:space="preserve">OK</t>
        </is>
      </c>
    </row>
    <row r="47">
      <c r="B47" s="1" t="inlineStr">
        <is>
          <t xml:space="preserve">Put 2 into cell B5.</t>
        </is>
      </c>
      <c r="C47" s="3" t="inlineStr">
        <is>
          <t xml:space="preserve">OK</t>
        </is>
      </c>
    </row>
    <row r="48">
      <c r="B48" s="1" t="inlineStr">
        <is>
          <t xml:space="preserve">Put "North" into cell C5.</t>
        </is>
      </c>
      <c r="C48" s="3" t="inlineStr">
        <is>
          <t xml:space="preserve">OK</t>
        </is>
      </c>
    </row>
    <row r="49">
      <c r="B49" s="1" t="inlineStr">
        <is>
          <t xml:space="preserve">Put 40 into cell D5.</t>
        </is>
      </c>
      <c r="C49" s="3" t="inlineStr">
        <is>
          <t xml:space="preserve">OK</t>
        </is>
      </c>
    </row>
    <row r="50">
      <c r="B50" s="1" t="inlineStr">
        <is>
          <t xml:space="preserve">Put 1 into cell E5.</t>
        </is>
      </c>
      <c r="C50" s="3" t="inlineStr">
        <is>
          <t xml:space="preserve">OK</t>
        </is>
      </c>
    </row>
    <row r="51">
      <c r="B51" s="1" t="inlineStr">
        <is>
          <t xml:space="preserve">Put "~tilde" into cell F5.</t>
        </is>
      </c>
      <c r="C51" s="3" t="inlineStr">
        <is>
          <t xml:space="preserve">OK</t>
        </is>
      </c>
    </row>
    <row r="52">
      <c r="B52" s="1" t="inlineStr">
        <is>
          <t xml:space="preserve">Put formula "=1/0" into cell G5.</t>
        </is>
      </c>
      <c r="C52" s="3" t="inlineStr">
        <is>
          <t xml:space="preserve">OK</t>
        </is>
      </c>
    </row>
    <row r="53">
      <c r="B53" s="1" t="inlineStr">
        <is>
          <t xml:space="preserve">Put 46055 into cell H5.</t>
        </is>
      </c>
      <c r="C53" s="3" t="inlineStr">
        <is>
          <t xml:space="preserve">OK</t>
        </is>
      </c>
    </row>
    <row r="54">
      <c r="B54" s="1" t="inlineStr">
        <is>
          <t xml:space="preserve">Put "Bank" into cell A6.</t>
        </is>
      </c>
      <c r="C54" s="3" t="inlineStr">
        <is>
          <t xml:space="preserve">OK</t>
        </is>
      </c>
    </row>
    <row r="55">
      <c r="B55" s="1" t="inlineStr">
        <is>
          <t xml:space="preserve">Put 3 into cell B6.</t>
        </is>
      </c>
      <c r="C55" s="3" t="inlineStr">
        <is>
          <t xml:space="preserve">OK</t>
        </is>
      </c>
    </row>
    <row r="56">
      <c r="B56" s="1" t="inlineStr">
        <is>
          <t xml:space="preserve">Put "West" into cell C6.</t>
        </is>
      </c>
      <c r="C56" s="3" t="inlineStr">
        <is>
          <t xml:space="preserve">OK</t>
        </is>
      </c>
    </row>
    <row r="57">
      <c r="B57" s="1" t="inlineStr">
        <is>
          <t xml:space="preserve">Put 300 into cell D6.</t>
        </is>
      </c>
      <c r="C57" s="3" t="inlineStr">
        <is>
          <t xml:space="preserve">OK</t>
        </is>
      </c>
    </row>
    <row r="58">
      <c r="B58" s="1" t="inlineStr">
        <is>
          <t xml:space="preserve">Put 4 into cell E6.</t>
        </is>
      </c>
      <c r="C58" s="3" t="inlineStr">
        <is>
          <t xml:space="preserve">OK</t>
        </is>
      </c>
    </row>
    <row r="59">
      <c r="B59" s="1" t="inlineStr">
        <is>
          <t xml:space="preserve">Put 46082 into cell H6.</t>
        </is>
      </c>
      <c r="C59" s="3" t="inlineStr">
        <is>
          <t xml:space="preserve">OK</t>
        </is>
      </c>
    </row>
    <row r="60">
      <c r="B60" s="1" t="inlineStr">
        <is>
          <t xml:space="preserve">Put "Cash" into cell A7.</t>
        </is>
      </c>
      <c r="C60" s="3" t="inlineStr">
        <is>
          <t xml:space="preserve">OK</t>
        </is>
      </c>
    </row>
    <row r="61">
      <c r="B61" s="1" t="inlineStr">
        <is>
          <t xml:space="preserve">Put 3 into cell B7.</t>
        </is>
      </c>
      <c r="C61" s="3" t="inlineStr">
        <is>
          <t xml:space="preserve">OK</t>
        </is>
      </c>
    </row>
    <row r="62">
      <c r="B62" s="1" t="inlineStr">
        <is>
          <t xml:space="preserve">Put "East" into cell C7.</t>
        </is>
      </c>
      <c r="C62" s="3" t="inlineStr">
        <is>
          <t xml:space="preserve">OK</t>
        </is>
      </c>
    </row>
    <row r="63">
      <c r="B63" s="1" t="inlineStr">
        <is>
          <t xml:space="preserve">Put 125 into cell D7.</t>
        </is>
      </c>
      <c r="C63" s="3" t="inlineStr">
        <is>
          <t xml:space="preserve">OK</t>
        </is>
      </c>
    </row>
    <row r="64">
      <c r="B64" s="1" t="inlineStr">
        <is>
          <t xml:space="preserve">Put 6 into cell E7.</t>
        </is>
      </c>
      <c r="C64" s="3" t="inlineStr">
        <is>
          <t xml:space="preserve">OK</t>
        </is>
      </c>
    </row>
    <row r="65">
      <c r="B65" s="1" t="inlineStr">
        <is>
          <t xml:space="preserve">Put formula "=""""" into cell F7.</t>
        </is>
      </c>
      <c r="C65" s="3" t="inlineStr">
        <is>
          <t xml:space="preserve">OK</t>
        </is>
      </c>
    </row>
    <row r="66">
      <c r="B66" s="1" t="inlineStr">
        <is>
          <t xml:space="preserve">Put 2 into cell G7.</t>
        </is>
      </c>
      <c r="C66" s="3" t="inlineStr">
        <is>
          <t xml:space="preserve">OK</t>
        </is>
      </c>
    </row>
    <row r="67">
      <c r="B67" s="1" t="inlineStr">
        <is>
          <t xml:space="preserve">Put 46083 into cell H7.</t>
        </is>
      </c>
      <c r="C67" s="3" t="inlineStr">
        <is>
          <t xml:space="preserve">OK</t>
        </is>
      </c>
    </row>
    <row r="68">
      <c r="B68" s="1" t="inlineStr">
        <is>
          <t xml:space="preserve">Put "Card" into cell A8.</t>
        </is>
      </c>
      <c r="C68" s="3" t="inlineStr">
        <is>
          <t xml:space="preserve">OK</t>
        </is>
      </c>
    </row>
    <row r="69">
      <c r="B69" s="1" t="inlineStr">
        <is>
          <t xml:space="preserve">Put 1 into cell B8.</t>
        </is>
      </c>
      <c r="C69" s="3" t="inlineStr">
        <is>
          <t xml:space="preserve">OK</t>
        </is>
      </c>
    </row>
    <row r="70">
      <c r="B70" s="1" t="inlineStr">
        <is>
          <t xml:space="preserve">Put "South" into cell C8.</t>
        </is>
      </c>
      <c r="C70" s="3" t="inlineStr">
        <is>
          <t xml:space="preserve">OK</t>
        </is>
      </c>
    </row>
    <row r="71">
      <c r="B71" s="1" t="inlineStr">
        <is>
          <t xml:space="preserve">Put -20 into cell D8.</t>
        </is>
      </c>
      <c r="C71" s="3" t="inlineStr">
        <is>
          <t xml:space="preserve">OK</t>
        </is>
      </c>
    </row>
    <row r="72">
      <c r="B72" s="1" t="inlineStr">
        <is>
          <t xml:space="preserve">Put 7 into cell E8.</t>
        </is>
      </c>
      <c r="C72" s="3" t="inlineStr">
        <is>
          <t xml:space="preserve">OK</t>
        </is>
      </c>
    </row>
    <row r="73">
      <c r="B73" s="1" t="inlineStr">
        <is>
          <t xml:space="preserve">Put "Dav" into cell F8.</t>
        </is>
      </c>
      <c r="C73" s="3" t="inlineStr">
        <is>
          <t xml:space="preserve">OK</t>
        </is>
      </c>
    </row>
    <row r="74">
      <c r="B74" s="1" t="inlineStr">
        <is>
          <t xml:space="preserve">Put formula "=""a""+1" into cell G8.</t>
        </is>
      </c>
      <c r="C74" s="3" t="inlineStr">
        <is>
          <t xml:space="preserve">OK</t>
        </is>
      </c>
    </row>
    <row r="75">
      <c r="B75" s="1" t="inlineStr">
        <is>
          <t xml:space="preserve">Put 46025 into cell H8.</t>
        </is>
      </c>
      <c r="C75" s="3" t="inlineStr">
        <is>
          <t xml:space="preserve">OK</t>
        </is>
      </c>
    </row>
    <row r="76">
      <c r="B76" s="1" t="inlineStr">
        <is>
          <t xml:space="preserve">Put "Cash" into cell A9.</t>
        </is>
      </c>
      <c r="C76" s="3" t="inlineStr">
        <is>
          <t xml:space="preserve">OK</t>
        </is>
      </c>
    </row>
    <row r="77">
      <c r="B77" s="1" t="inlineStr">
        <is>
          <t xml:space="preserve">Put 12 into cell B9.</t>
        </is>
      </c>
      <c r="C77" s="3" t="inlineStr">
        <is>
          <t xml:space="preserve">OK</t>
        </is>
      </c>
    </row>
    <row r="78">
      <c r="B78" s="1" t="inlineStr">
        <is>
          <t xml:space="preserve">Put "East" into cell C9.</t>
        </is>
      </c>
      <c r="C78" s="3" t="inlineStr">
        <is>
          <t xml:space="preserve">OK</t>
        </is>
      </c>
    </row>
    <row r="79">
      <c r="B79" s="1" t="inlineStr">
        <is>
          <t xml:space="preserve">Put 10 into cell D9.</t>
        </is>
      </c>
      <c r="C79" s="3" t="inlineStr">
        <is>
          <t xml:space="preserve">OK</t>
        </is>
      </c>
    </row>
    <row r="80">
      <c r="B80" s="1" t="inlineStr">
        <is>
          <t xml:space="preserve">Put 0 into cell E9.</t>
        </is>
      </c>
      <c r="C80" s="3" t="inlineStr">
        <is>
          <t xml:space="preserve">OK</t>
        </is>
      </c>
    </row>
    <row r="81">
      <c r="B81" s="1" t="inlineStr">
        <is>
          <t xml:space="preserve">Put "Davolio" into cell F9.</t>
        </is>
      </c>
      <c r="C81" s="3" t="inlineStr">
        <is>
          <t xml:space="preserve">OK</t>
        </is>
      </c>
    </row>
    <row r="82">
      <c r="B82" s="1" t="inlineStr">
        <is>
          <t xml:space="preserve">Put 3 into cell G9.</t>
        </is>
      </c>
      <c r="C82" s="3" t="inlineStr">
        <is>
          <t xml:space="preserve">OK</t>
        </is>
      </c>
    </row>
    <row r="83">
      <c r="B83" s="1" t="inlineStr">
        <is>
          <t xml:space="preserve">Put 46357 into cell H9.</t>
        </is>
      </c>
      <c r="C83" s="3" t="inlineStr">
        <is>
          <t xml:space="preserve">OK</t>
        </is>
      </c>
    </row>
    <row r="84">
      <c r="B84" s="1" t="inlineStr">
        <is>
          <t xml:space="preserve">Put 2 into cell B10.</t>
        </is>
      </c>
      <c r="C84" s="3" t="inlineStr">
        <is>
          <t xml:space="preserve">OK</t>
        </is>
      </c>
    </row>
    <row r="85">
      <c r="B85" s="1" t="inlineStr">
        <is>
          <t xml:space="preserve">Put "West" into cell C10.</t>
        </is>
      </c>
      <c r="C85" s="3" t="inlineStr">
        <is>
          <t xml:space="preserve">OK</t>
        </is>
      </c>
    </row>
    <row r="86">
      <c r="B86" s="1" t="inlineStr">
        <is>
          <t xml:space="preserve">Put 60 into cell D10.</t>
        </is>
      </c>
      <c r="C86" s="3" t="inlineStr">
        <is>
          <t xml:space="preserve">OK</t>
        </is>
      </c>
    </row>
    <row r="87">
      <c r="B87" s="1" t="inlineStr">
        <is>
          <t xml:space="preserve">Put 2 into cell E10.</t>
        </is>
      </c>
      <c r="C87" s="3" t="inlineStr">
        <is>
          <t xml:space="preserve">OK</t>
        </is>
      </c>
    </row>
    <row r="88">
      <c r="B88" s="1" t="inlineStr">
        <is>
          <t xml:space="preserve">Put "David" into cell F10.</t>
        </is>
      </c>
      <c r="C88" s="3" t="inlineStr">
        <is>
          <t xml:space="preserve">OK</t>
        </is>
      </c>
    </row>
    <row r="89">
      <c r="B89" s="1" t="inlineStr">
        <is>
          <t xml:space="preserve">Put 4 into cell G10.</t>
        </is>
      </c>
      <c r="C89" s="3" t="inlineStr">
        <is>
          <t xml:space="preserve">OK</t>
        </is>
      </c>
    </row>
    <row r="90">
      <c r="B90" s="1" t="inlineStr">
        <is>
          <t xml:space="preserve">Put 46056 into cell H10.</t>
        </is>
      </c>
      <c r="C90" s="3" t="inlineStr">
        <is>
          <t xml:space="preserve">OK</t>
        </is>
      </c>
    </row>
    <row r="91">
      <c r="B91" s="1" t="inlineStr">
        <is>
          <t xml:space="preserve">Put "bank" into cell A11.</t>
        </is>
      </c>
      <c r="C91" s="3" t="inlineStr">
        <is>
          <t xml:space="preserve">OK</t>
        </is>
      </c>
    </row>
    <row r="92">
      <c r="B92" s="1" t="inlineStr">
        <is>
          <t xml:space="preserve">Put 2 into cell B11.</t>
        </is>
      </c>
      <c r="C92" s="3" t="inlineStr">
        <is>
          <t xml:space="preserve">OK</t>
        </is>
      </c>
    </row>
    <row r="93">
      <c r="B93" s="1" t="inlineStr">
        <is>
          <t xml:space="preserve">Put "WEST" into cell C11.</t>
        </is>
      </c>
      <c r="C93" s="3" t="inlineStr">
        <is>
          <t xml:space="preserve">OK</t>
        </is>
      </c>
    </row>
    <row r="94">
      <c r="B94" s="1" t="inlineStr">
        <is>
          <t xml:space="preserve">Put 0.1 into cell D11.</t>
        </is>
      </c>
      <c r="C94" s="3" t="inlineStr">
        <is>
          <t xml:space="preserve">OK</t>
        </is>
      </c>
    </row>
    <row r="95">
      <c r="B95" s="1" t="inlineStr">
        <is>
          <t xml:space="preserve">Put 1 into cell E11.</t>
        </is>
      </c>
      <c r="C95" s="3" t="inlineStr">
        <is>
          <t xml:space="preserve">OK</t>
        </is>
      </c>
    </row>
    <row r="96">
      <c r="B96" s="1" t="inlineStr">
        <is>
          <t xml:space="preserve">Put "davis" into cell F11.</t>
        </is>
      </c>
      <c r="C96" s="3" t="inlineStr">
        <is>
          <t xml:space="preserve">OK</t>
        </is>
      </c>
    </row>
    <row r="97">
      <c r="B97" s="1" t="inlineStr">
        <is>
          <t xml:space="preserve">Put 5 into cell G11.</t>
        </is>
      </c>
      <c r="C97" s="3" t="inlineStr">
        <is>
          <t xml:space="preserve">OK</t>
        </is>
      </c>
    </row>
    <row r="98">
      <c r="B98" s="1" t="inlineStr">
        <is>
          <t xml:space="preserve">Put 46057 into cell H11.</t>
        </is>
      </c>
      <c r="C98" s="3" t="inlineStr">
        <is>
          <t xml:space="preserve">OK</t>
        </is>
      </c>
    </row>
    <row r="99">
      <c r="B99" s="1" t="inlineStr">
        <is>
          <t xml:space="preserve">Put "Cash" into cell A12.</t>
        </is>
      </c>
      <c r="C99" s="3" t="inlineStr">
        <is>
          <t xml:space="preserve">OK</t>
        </is>
      </c>
    </row>
    <row r="100">
      <c r="B100" s="1" t="inlineStr">
        <is>
          <t xml:space="preserve">Put 3 into cell B12.</t>
        </is>
      </c>
      <c r="C100" s="3" t="inlineStr">
        <is>
          <t xml:space="preserve">OK</t>
        </is>
      </c>
    </row>
    <row r="101">
      <c r="B101" s="1" t="inlineStr">
        <is>
          <t xml:space="preserve">Put "East" into cell C12.</t>
        </is>
      </c>
      <c r="C101" s="3" t="inlineStr">
        <is>
          <t xml:space="preserve">OK</t>
        </is>
      </c>
    </row>
    <row r="102">
      <c r="B102" s="1" t="inlineStr">
        <is>
          <t xml:space="preserve">Put 0.2 into cell D12.</t>
        </is>
      </c>
      <c r="C102" s="3" t="inlineStr">
        <is>
          <t xml:space="preserve">OK</t>
        </is>
      </c>
    </row>
    <row r="103">
      <c r="B103" s="1" t="inlineStr">
        <is>
          <t xml:space="preserve">Put 9 into cell E12.</t>
        </is>
      </c>
      <c r="C103" s="3" t="inlineStr">
        <is>
          <t xml:space="preserve">OK</t>
        </is>
      </c>
    </row>
    <row r="104">
      <c r="B104" s="1" t="inlineStr">
        <is>
          <t xml:space="preserve">Put "100" into cell F12.</t>
        </is>
      </c>
      <c r="C104" s="3" t="inlineStr">
        <is>
          <t xml:space="preserve">OK</t>
        </is>
      </c>
    </row>
    <row r="105">
      <c r="B105" s="1" t="inlineStr">
        <is>
          <t xml:space="preserve">Put 6 into cell G12.</t>
        </is>
      </c>
      <c r="C105" s="3" t="inlineStr">
        <is>
          <t xml:space="preserve">OK</t>
        </is>
      </c>
    </row>
    <row r="106">
      <c r="B106" s="1" t="inlineStr">
        <is>
          <t xml:space="preserve">Put 46084 into cell H12.</t>
        </is>
      </c>
      <c r="C106" s="3" t="inlineStr">
        <is>
          <t xml:space="preserve">OK</t>
        </is>
      </c>
    </row>
    <row r="107">
      <c r="B107" s="1" t="inlineStr">
        <is>
          <t xml:space="preserve">Put "Card" into cell A13.</t>
        </is>
      </c>
      <c r="C107" s="3" t="inlineStr">
        <is>
          <t xml:space="preserve">OK</t>
        </is>
      </c>
    </row>
    <row r="108">
      <c r="B108" s="1" t="inlineStr">
        <is>
          <t xml:space="preserve">Put "3" into cell B13.</t>
        </is>
      </c>
      <c r="C108" s="3" t="inlineStr">
        <is>
          <t xml:space="preserve">OK</t>
        </is>
      </c>
    </row>
    <row r="109">
      <c r="B109" s="1" t="inlineStr">
        <is>
          <t xml:space="preserve">Put "North" into cell C13.</t>
        </is>
      </c>
      <c r="C109" s="3" t="inlineStr">
        <is>
          <t xml:space="preserve">OK</t>
        </is>
      </c>
    </row>
    <row r="110">
      <c r="B110" s="1" t="inlineStr">
        <is>
          <t xml:space="preserve">Put 55 into cell D13.</t>
        </is>
      </c>
      <c r="C110" s="3" t="inlineStr">
        <is>
          <t xml:space="preserve">OK</t>
        </is>
      </c>
    </row>
    <row r="111">
      <c r="B111" s="1" t="inlineStr">
        <is>
          <t xml:space="preserve">Put 3 into cell E13.</t>
        </is>
      </c>
      <c r="C111" s="3" t="inlineStr">
        <is>
          <t xml:space="preserve">OK</t>
        </is>
      </c>
    </row>
    <row r="112">
      <c r="B112" s="1" t="inlineStr">
        <is>
          <t xml:space="preserve">Put "1e2" into cell F13.</t>
        </is>
      </c>
      <c r="C112" s="3" t="inlineStr">
        <is>
          <t xml:space="preserve">OK</t>
        </is>
      </c>
    </row>
    <row r="113">
      <c r="B113" s="1" t="inlineStr">
        <is>
          <t xml:space="preserve">Put 7 into cell G13.</t>
        </is>
      </c>
      <c r="C113" s="3" t="inlineStr">
        <is>
          <t xml:space="preserve">OK</t>
        </is>
      </c>
    </row>
    <row r="114">
      <c r="B114" s="1" t="inlineStr">
        <is>
          <t xml:space="preserve">Put 46085 into cell H13.</t>
        </is>
      </c>
      <c r="C114" s="3" t="inlineStr">
        <is>
          <t xml:space="preserve">OK</t>
        </is>
      </c>
    </row>
    <row r="115">
      <c r="B115" s="1" t="inlineStr">
        <is>
          <t xml:space="preserve">Put "Region" into cell K1.</t>
        </is>
      </c>
      <c r="C115" s="3" t="inlineStr">
        <is>
          <t xml:space="preserve">OK</t>
        </is>
      </c>
    </row>
    <row r="116">
      <c r="B116" s="1" t="inlineStr">
        <is>
          <t xml:space="preserve">Put "East" into cell K2.</t>
        </is>
      </c>
      <c r="C116" s="3" t="inlineStr">
        <is>
          <t xml:space="preserve">OK</t>
        </is>
      </c>
    </row>
    <row r="117">
      <c r="B117" s="1" t="inlineStr">
        <is>
          <t xml:space="preserve">Put "Note" into cell L1.</t>
        </is>
      </c>
      <c r="C117" s="3" t="inlineStr">
        <is>
          <t xml:space="preserve">OK</t>
        </is>
      </c>
    </row>
    <row r="118">
      <c r="B118" s="1" t="inlineStr">
        <is>
          <t xml:space="preserve">Put "Dav" into cell L2.</t>
        </is>
      </c>
      <c r="C118" s="3" t="inlineStr">
        <is>
          <t xml:space="preserve">OK</t>
        </is>
      </c>
    </row>
    <row r="119">
      <c r="B119" s="1" t="inlineStr">
        <is>
          <t xml:space="preserve">Put "Note" into cell M1.</t>
        </is>
      </c>
      <c r="C119" s="3" t="inlineStr">
        <is>
          <t xml:space="preserve">OK</t>
        </is>
      </c>
    </row>
    <row r="120">
      <c r="B120" s="1" t="inlineStr">
        <is>
          <t xml:space="preserve">Put "=Dav" into cell M2.</t>
        </is>
      </c>
      <c r="C120" s="3" t="inlineStr">
        <is>
          <t xml:space="preserve">OK</t>
        </is>
      </c>
    </row>
    <row r="121">
      <c r="B121" s="1" t="inlineStr">
        <is>
          <t xml:space="preserve">Put "Month" into cell N1.</t>
        </is>
      </c>
      <c r="C121" s="3" t="inlineStr">
        <is>
          <t xml:space="preserve">OK</t>
        </is>
      </c>
    </row>
    <row r="122">
      <c r="B122" s="1" t="inlineStr">
        <is>
          <t xml:space="preserve">Put 3 into cell N2.</t>
        </is>
      </c>
      <c r="C122" s="3" t="inlineStr">
        <is>
          <t xml:space="preserve">OK</t>
        </is>
      </c>
    </row>
    <row r="123">
      <c r="B123" s="1" t="inlineStr">
        <is>
          <t xml:space="preserve">Put "Account" into cell O1.</t>
        </is>
      </c>
      <c r="C123" s="3" t="inlineStr">
        <is>
          <t xml:space="preserve">OK</t>
        </is>
      </c>
    </row>
    <row r="124">
      <c r="B124" s="1" t="inlineStr">
        <is>
          <t xml:space="preserve">Put "Cash" into cell O2.</t>
        </is>
      </c>
      <c r="C124" s="3" t="inlineStr">
        <is>
          <t xml:space="preserve">OK</t>
        </is>
      </c>
    </row>
    <row r="125">
      <c r="B125" s="1" t="inlineStr">
        <is>
          <t xml:space="preserve">Put "Month" into cell P1.</t>
        </is>
      </c>
      <c r="C125" s="3" t="inlineStr">
        <is>
          <t xml:space="preserve">OK</t>
        </is>
      </c>
    </row>
    <row r="126">
      <c r="B126" s="1" t="inlineStr">
        <is>
          <t xml:space="preserve">Put 3 into cell P2.</t>
        </is>
      </c>
      <c r="C126" s="3" t="inlineStr">
        <is>
          <t xml:space="preserve">OK</t>
        </is>
      </c>
    </row>
    <row r="127">
      <c r="B127" s="1" t="inlineStr">
        <is>
          <t xml:space="preserve">Put "Account" into cell Q1.</t>
        </is>
      </c>
      <c r="C127" s="3" t="inlineStr">
        <is>
          <t xml:space="preserve">OK</t>
        </is>
      </c>
    </row>
    <row r="128">
      <c r="B128" s="1" t="inlineStr">
        <is>
          <t xml:space="preserve">Put "Card" into cell Q2.</t>
        </is>
      </c>
      <c r="C128" s="3" t="inlineStr">
        <is>
          <t xml:space="preserve">OK</t>
        </is>
      </c>
    </row>
    <row r="129">
      <c r="B129" s="1" t="inlineStr">
        <is>
          <t xml:space="preserve">Put "Bank" into cell Q3.</t>
        </is>
      </c>
      <c r="C129" s="3" t="inlineStr">
        <is>
          <t xml:space="preserve">OK</t>
        </is>
      </c>
    </row>
    <row r="130">
      <c r="B130" s="1" t="inlineStr">
        <is>
          <t xml:space="preserve">Put "Account" into cell R1.</t>
        </is>
      </c>
      <c r="C130" s="3" t="inlineStr">
        <is>
          <t xml:space="preserve">OK</t>
        </is>
      </c>
    </row>
    <row r="131">
      <c r="B131" s="1" t="inlineStr">
        <is>
          <t xml:space="preserve">Put "Cash" into cell R2.</t>
        </is>
      </c>
      <c r="C131" s="3" t="inlineStr">
        <is>
          <t xml:space="preserve">OK</t>
        </is>
      </c>
    </row>
    <row r="132">
      <c r="B132" s="1" t="inlineStr">
        <is>
          <t xml:space="preserve">Put "region" into cell S1.</t>
        </is>
      </c>
      <c r="C132" s="3" t="inlineStr">
        <is>
          <t xml:space="preserve">OK</t>
        </is>
      </c>
    </row>
    <row r="133">
      <c r="B133" s="1" t="inlineStr">
        <is>
          <t xml:space="preserve">Put "west" into cell S2.</t>
        </is>
      </c>
      <c r="C133" s="3" t="inlineStr">
        <is>
          <t xml:space="preserve">OK</t>
        </is>
      </c>
    </row>
    <row r="134">
      <c r="B134" s="1" t="inlineStr">
        <is>
          <t xml:space="preserve">Put "Nope" into cell T1.</t>
        </is>
      </c>
      <c r="C134" s="3" t="inlineStr">
        <is>
          <t xml:space="preserve">OK</t>
        </is>
      </c>
    </row>
    <row r="135">
      <c r="B135" s="1" t="inlineStr">
        <is>
          <t xml:space="preserve">Put "x" into cell T2.</t>
        </is>
      </c>
      <c r="C135" s="3" t="inlineStr">
        <is>
          <t xml:space="preserve">OK</t>
        </is>
      </c>
    </row>
    <row r="136">
      <c r="B136" s="1" t="inlineStr">
        <is>
          <t xml:space="preserve">Put "Big" into cell U1.</t>
        </is>
      </c>
      <c r="C136" s="3" t="inlineStr">
        <is>
          <t xml:space="preserve">OK</t>
        </is>
      </c>
    </row>
    <row r="137">
      <c r="B137" s="1" t="inlineStr">
        <is>
          <t xml:space="preserve">Put formula "=Data!D2&gt;100" into cell U2.</t>
        </is>
      </c>
      <c r="C137" s="3" t="inlineStr">
        <is>
          <t xml:space="preserve">OK</t>
        </is>
      </c>
    </row>
    <row r="138">
      <c r="B138" s="1" t="inlineStr">
        <is>
          <t xml:space="preserve">Put "Account" into cell W1.</t>
        </is>
      </c>
      <c r="C138" s="3" t="inlineStr">
        <is>
          <t xml:space="preserve">OK</t>
        </is>
      </c>
    </row>
    <row r="139">
      <c r="B139" s="1" t="inlineStr">
        <is>
          <t xml:space="preserve">Put "Nope" into cell W2.</t>
        </is>
      </c>
      <c r="C139" s="3" t="inlineStr">
        <is>
          <t xml:space="preserve">OK</t>
        </is>
      </c>
    </row>
    <row r="140">
      <c r="B140" s="1" t="inlineStr">
        <is>
          <t xml:space="preserve">Put "Note" into cell Y1.</t>
        </is>
      </c>
      <c r="C140" s="3" t="inlineStr">
        <is>
          <t xml:space="preserve">OK</t>
        </is>
      </c>
    </row>
    <row r="141">
      <c r="B141" s="1" t="inlineStr">
        <is>
          <t xml:space="preserve">Put "Dav*" into cell Y2.</t>
        </is>
      </c>
      <c r="C141" s="3" t="inlineStr">
        <is>
          <t xml:space="preserve">OK</t>
        </is>
      </c>
    </row>
    <row r="142">
      <c r="B142" s="1" t="inlineStr">
        <is>
          <t xml:space="preserve">Put "Note" into cell Z1.</t>
        </is>
      </c>
      <c r="C142" s="3" t="inlineStr">
        <is>
          <t xml:space="preserve">OK</t>
        </is>
      </c>
    </row>
    <row r="143">
      <c r="B143" s="1" t="inlineStr">
        <is>
          <t xml:space="preserve">Put "*vi*" into cell Z2.</t>
        </is>
      </c>
      <c r="C143" s="3" t="inlineStr">
        <is>
          <t xml:space="preserve">OK</t>
        </is>
      </c>
    </row>
    <row r="144">
      <c r="B144" s="1" t="inlineStr">
        <is>
          <t xml:space="preserve">Put "Note" into cell AA1.</t>
        </is>
      </c>
      <c r="C144" s="3" t="inlineStr">
        <is>
          <t xml:space="preserve">OK</t>
        </is>
      </c>
    </row>
    <row r="145">
      <c r="B145" s="1" t="inlineStr">
        <is>
          <t xml:space="preserve">Put "D?v" into cell AA2.</t>
        </is>
      </c>
      <c r="C145" s="3" t="inlineStr">
        <is>
          <t xml:space="preserve">OK</t>
        </is>
      </c>
    </row>
    <row r="146">
      <c r="B146" s="1" t="inlineStr">
        <is>
          <t xml:space="preserve">Put "Amount" into cell AB1.</t>
        </is>
      </c>
      <c r="C146" s="3" t="inlineStr">
        <is>
          <t xml:space="preserve">OK</t>
        </is>
      </c>
    </row>
    <row r="147">
      <c r="B147" s="1" t="inlineStr">
        <is>
          <t xml:space="preserve">Put "10" into cell AB2.</t>
        </is>
      </c>
      <c r="C147" s="3" t="inlineStr">
        <is>
          <t xml:space="preserve">OK</t>
        </is>
      </c>
    </row>
    <row r="148">
      <c r="B148" s="1" t="inlineStr">
        <is>
          <t xml:space="preserve">Put "Amount" into cell AC1.</t>
        </is>
      </c>
      <c r="C148" s="3" t="inlineStr">
        <is>
          <t xml:space="preserve">OK</t>
        </is>
      </c>
    </row>
    <row r="149">
      <c r="B149" s="1" t="inlineStr">
        <is>
          <t xml:space="preserve">Put 10 into cell AC2.</t>
        </is>
      </c>
      <c r="C149" s="3" t="inlineStr">
        <is>
          <t xml:space="preserve">OK</t>
        </is>
      </c>
    </row>
    <row r="150">
      <c r="B150" s="1" t="inlineStr">
        <is>
          <t xml:space="preserve">Put "Amount" into cell AD1.</t>
        </is>
      </c>
      <c r="C150" s="3" t="inlineStr">
        <is>
          <t xml:space="preserve">OK</t>
        </is>
      </c>
    </row>
    <row r="151">
      <c r="B151" s="1" t="inlineStr">
        <is>
          <t xml:space="preserve">Put "&gt;100" into cell AD2.</t>
        </is>
      </c>
      <c r="C151" s="3" t="inlineStr">
        <is>
          <t xml:space="preserve">OK</t>
        </is>
      </c>
    </row>
    <row r="152">
      <c r="B152" s="1" t="inlineStr">
        <is>
          <t xml:space="preserve">Put "Account" into cell AE1.</t>
        </is>
      </c>
      <c r="C152" s="3" t="inlineStr">
        <is>
          <t xml:space="preserve">OK</t>
        </is>
      </c>
    </row>
    <row r="153">
      <c r="B153" s="1" t="inlineStr">
        <is>
          <t xml:space="preserve">Put "&lt;&gt;Cash" into cell AE2.</t>
        </is>
      </c>
      <c r="C153" s="3" t="inlineStr">
        <is>
          <t xml:space="preserve">OK</t>
        </is>
      </c>
    </row>
    <row r="154">
      <c r="B154" s="1" t="inlineStr">
        <is>
          <t xml:space="preserve">Put "Account" into cell AF1.</t>
        </is>
      </c>
      <c r="C154" s="3" t="inlineStr">
        <is>
          <t xml:space="preserve">OK</t>
        </is>
      </c>
    </row>
    <row r="155">
      <c r="B155" s="1" t="inlineStr">
        <is>
          <t xml:space="preserve">Put "=" into cell AF2.</t>
        </is>
      </c>
      <c r="C155" s="3" t="inlineStr">
        <is>
          <t xml:space="preserve">OK</t>
        </is>
      </c>
    </row>
    <row r="156">
      <c r="B156" s="1" t="inlineStr">
        <is>
          <t xml:space="preserve">Put "Account" into cell AG1.</t>
        </is>
      </c>
      <c r="C156" s="3" t="inlineStr">
        <is>
          <t xml:space="preserve">OK</t>
        </is>
      </c>
    </row>
    <row r="157">
      <c r="B157" s="1" t="inlineStr">
        <is>
          <t xml:space="preserve">Put "&lt;&gt;" into cell AG2.</t>
        </is>
      </c>
      <c r="C157" s="3" t="inlineStr">
        <is>
          <t xml:space="preserve">OK</t>
        </is>
      </c>
    </row>
    <row r="158">
      <c r="B158" s="1" t="inlineStr">
        <is>
          <t xml:space="preserve">Put "Mixed" into cell AH1.</t>
        </is>
      </c>
      <c r="C158" s="3" t="inlineStr">
        <is>
          <t xml:space="preserve">OK</t>
        </is>
      </c>
    </row>
    <row r="159">
      <c r="B159" s="1" t="inlineStr">
        <is>
          <t xml:space="preserve">Put formula "=TRUE" into cell AH2.</t>
        </is>
      </c>
      <c r="C159" s="3" t="inlineStr">
        <is>
          <t xml:space="preserve">OK</t>
        </is>
      </c>
    </row>
    <row r="160">
      <c r="B160" s="1" t="inlineStr">
        <is>
          <t xml:space="preserve">Put "Account" into cell AI1.</t>
        </is>
      </c>
      <c r="C160" s="3" t="inlineStr">
        <is>
          <t xml:space="preserve">OK</t>
        </is>
      </c>
    </row>
    <row r="161">
      <c r="B161" s="1" t="inlineStr">
        <is>
          <t xml:space="preserve">Put "Cash" into cell AI2.</t>
        </is>
      </c>
      <c r="C161" s="3" t="inlineStr">
        <is>
          <t xml:space="preserve">OK</t>
        </is>
      </c>
    </row>
    <row r="162">
      <c r="B162" s="1" t="inlineStr">
        <is>
          <t xml:space="preserve">Put "Card" into cell AI3.</t>
        </is>
      </c>
      <c r="C162" s="3" t="inlineStr">
        <is>
          <t xml:space="preserve">OK</t>
        </is>
      </c>
    </row>
    <row r="163">
      <c r="B163" s="1" t="inlineStr">
        <is>
          <t xml:space="preserve">Put "Month" into cell AJ1.</t>
        </is>
      </c>
      <c r="C163" s="3" t="inlineStr">
        <is>
          <t xml:space="preserve">OK</t>
        </is>
      </c>
    </row>
    <row r="164">
      <c r="B164" s="1" t="inlineStr">
        <is>
          <t xml:space="preserve">Put 3 into cell AJ2.</t>
        </is>
      </c>
      <c r="C164" s="3" t="inlineStr">
        <is>
          <t xml:space="preserve">OK</t>
        </is>
      </c>
    </row>
    <row r="165">
      <c r="B165" s="1" t="inlineStr">
        <is>
          <t xml:space="preserve">Put "Mixed" into cell AK1.</t>
        </is>
      </c>
      <c r="C165" s="3" t="inlineStr">
        <is>
          <t xml:space="preserve">OK</t>
        </is>
      </c>
    </row>
    <row r="166">
      <c r="B166" s="1" t="inlineStr">
        <is>
          <t xml:space="preserve">Put "&gt;1" into cell AK2.</t>
        </is>
      </c>
      <c r="C166" s="3" t="inlineStr">
        <is>
          <t xml:space="preserve">OK</t>
        </is>
      </c>
    </row>
    <row r="167">
      <c r="B167" s="1" t="inlineStr">
        <is>
          <t xml:space="preserve">Put "Amount" into cell AL1.</t>
        </is>
      </c>
      <c r="C167" s="3" t="inlineStr">
        <is>
          <t xml:space="preserve">OK</t>
        </is>
      </c>
    </row>
    <row r="168">
      <c r="B168" s="1" t="inlineStr">
        <is>
          <t xml:space="preserve">Put 300 into cell AL2.</t>
        </is>
      </c>
      <c r="C168" s="3" t="inlineStr">
        <is>
          <t xml:space="preserve">OK</t>
        </is>
      </c>
    </row>
    <row r="169">
      <c r="B169" s="1" t="inlineStr">
        <is>
          <t xml:space="preserve">Put 1 into cell X1.</t>
        </is>
      </c>
      <c r="C169" s="3" t="inlineStr">
        <is>
          <t xml:space="preserve">OK</t>
        </is>
      </c>
    </row>
    <row r="170">
      <c r="B170" s="1" t="inlineStr">
        <is>
          <t xml:space="preserve">Put 2 into cell X2.</t>
        </is>
      </c>
      <c r="C170" s="3" t="inlineStr">
        <is>
          <t xml:space="preserve">OK</t>
        </is>
      </c>
    </row>
    <row r="171">
      <c r="B171" s="1" t="inlineStr">
        <is>
          <t xml:space="preserve">Put formula "=SUBTOTAL(9,X1:X2)" into cell X3.</t>
        </is>
      </c>
      <c r="C171" s="3" t="inlineStr">
        <is>
          <t xml:space="preserve">OK</t>
        </is>
      </c>
    </row>
    <row r="172">
      <c r="B172" s="1" t="inlineStr">
        <is>
          <t xml:space="preserve">Put formula "=SUBTOTAL(9,X1:X2)*2" into cell X4.</t>
        </is>
      </c>
      <c r="C172" s="3" t="inlineStr">
        <is>
          <t xml:space="preserve">OK</t>
        </is>
      </c>
    </row>
    <row r="173">
      <c r="B173" s="1" t="inlineStr">
        <is>
          <t xml:space="preserve">Put formula "=SUM(X1:X2)" into cell X5.</t>
        </is>
      </c>
      <c r="C173" s="3" t="inlineStr">
        <is>
          <t xml:space="preserve">OK</t>
        </is>
      </c>
    </row>
    <row r="175">
      <c r="B175" s="1" t="inlineStr">
        <is>
          <t xml:space="preserve">Work on sheet Far.</t>
        </is>
      </c>
      <c r="C175" s="3" t="inlineStr">
        <is>
          <t xml:space="preserve">OK</t>
        </is>
      </c>
    </row>
    <row r="176">
      <c r="B176" s="1" t="inlineStr">
        <is>
          <t xml:space="preserve">Put "Key" into cell A1.</t>
        </is>
      </c>
      <c r="C176" s="3" t="inlineStr">
        <is>
          <t xml:space="preserve">OK</t>
        </is>
      </c>
    </row>
    <row r="177">
      <c r="B177" s="1" t="inlineStr">
        <is>
          <t xml:space="preserve">Put "x" into cell A2.</t>
        </is>
      </c>
      <c r="C177" s="3" t="inlineStr">
        <is>
          <t xml:space="preserve">OK</t>
        </is>
      </c>
    </row>
    <row r="178">
      <c r="B178" s="1" t="inlineStr">
        <is>
          <t xml:space="preserve">Put "y" into cell A3.</t>
        </is>
      </c>
      <c r="C178" s="3" t="inlineStr">
        <is>
          <t xml:space="preserve">OK</t>
        </is>
      </c>
    </row>
    <row r="179">
      <c r="B179" s="1" t="inlineStr">
        <is>
          <t xml:space="preserve">Put 1 into cell C9.</t>
        </is>
      </c>
      <c r="C179" s="3" t="inlineStr">
        <is>
          <t xml:space="preserve">OK</t>
        </is>
      </c>
    </row>
    <row r="180">
      <c r="B180" s="1" t="inlineStr">
        <is>
          <t xml:space="preserve">Put "Key" into cell E1.</t>
        </is>
      </c>
      <c r="C180" s="3" t="inlineStr">
        <is>
          <t xml:space="preserve">OK</t>
        </is>
      </c>
    </row>
    <row r="181">
      <c r="B181" s="1" t="inlineStr">
        <is>
          <t xml:space="preserve">Put "=" into cell E2.</t>
        </is>
      </c>
      <c r="C181" s="3" t="inlineStr">
        <is>
          <t xml:space="preserve">OK</t>
        </is>
      </c>
    </row>
    <row r="183">
      <c r="B183" s="1" t="inlineStr">
        <is>
          <t xml:space="preserve">Work on sheet Functions.</t>
        </is>
      </c>
      <c r="C183" s="3" t="inlineStr">
        <is>
          <t xml:space="preserve">OK</t>
        </is>
      </c>
    </row>
    <row r="184">
      <c r="B184" s="1" t="inlineStr">
        <is>
          <t xml:space="preserve">Put formula "=COUNT(Data!D2:D13)" into cell A1.</t>
        </is>
      </c>
      <c r="C184" s="3" t="inlineStr">
        <is>
          <t xml:space="preserve">OK</t>
        </is>
      </c>
    </row>
    <row r="185">
      <c r="B185" s="1" t="inlineStr">
        <is>
          <t xml:space="preserve">Put formula "=COUNT(Data!G2:G13)" into cell A2.</t>
        </is>
      </c>
      <c r="C185" s="3" t="inlineStr">
        <is>
          <t xml:space="preserve">OK</t>
        </is>
      </c>
    </row>
    <row r="186">
      <c r="B186" s="1" t="inlineStr">
        <is>
          <t xml:space="preserve">Put formula "=COUNT(1,TRUE,""2"",""x"",1/0)" into cell A3.</t>
        </is>
      </c>
      <c r="C186" s="3" t="inlineStr">
        <is>
          <t xml:space="preserve">OK</t>
        </is>
      </c>
    </row>
    <row r="187">
      <c r="B187" s="1" t="inlineStr">
        <is>
          <t xml:space="preserve">Put formula "=COUNT(1,,2)" into cell A4.</t>
        </is>
      </c>
      <c r="C187" s="3" t="inlineStr">
        <is>
          <t xml:space="preserve">OK</t>
        </is>
      </c>
    </row>
    <row r="188">
      <c r="B188" s="1" t="inlineStr">
        <is>
          <t xml:space="preserve">Put formula "=COUNT(1/0)" into cell A5.</t>
        </is>
      </c>
      <c r="C188" s="3" t="inlineStr">
        <is>
          <t xml:space="preserve">OK</t>
        </is>
      </c>
    </row>
    <row r="189">
      <c r="B189" s="1" t="inlineStr">
        <is>
          <t xml:space="preserve">Put formula "=COUNT(Data!J1)" into cell A6.</t>
        </is>
      </c>
      <c r="C189" s="3" t="inlineStr">
        <is>
          <t xml:space="preserve">OK</t>
        </is>
      </c>
    </row>
    <row r="190">
      <c r="B190" s="1" t="inlineStr">
        <is>
          <t xml:space="preserve">Put formula "=COUNTA(Data!F2:F13)" into cell A7.</t>
        </is>
      </c>
      <c r="C190" s="3" t="inlineStr">
        <is>
          <t xml:space="preserve">OK</t>
        </is>
      </c>
    </row>
    <row r="191">
      <c r="B191" s="1" t="inlineStr">
        <is>
          <t xml:space="preserve">Put formula "=COUNTA(1,"""",TRUE,1/0)" into cell A8.</t>
        </is>
      </c>
      <c r="C191" s="3" t="inlineStr">
        <is>
          <t xml:space="preserve">OK</t>
        </is>
      </c>
    </row>
    <row r="192">
      <c r="B192" s="1" t="inlineStr">
        <is>
          <t xml:space="preserve">Put formula "=COUNTA(Data!J1)" into cell A9.</t>
        </is>
      </c>
      <c r="C192" s="3" t="inlineStr">
        <is>
          <t xml:space="preserve">OK</t>
        </is>
      </c>
    </row>
    <row r="193">
      <c r="B193" s="1" t="inlineStr">
        <is>
          <t xml:space="preserve">Put formula "=COUNTA(Data!F7)" into cell A10.</t>
        </is>
      </c>
      <c r="C193" s="3" t="inlineStr">
        <is>
          <t xml:space="preserve">OK</t>
        </is>
      </c>
    </row>
    <row r="194">
      <c r="B194" s="1" t="inlineStr">
        <is>
          <t xml:space="preserve">Put formula "=COUNTA(1,,2)" into cell A11.</t>
        </is>
      </c>
      <c r="C194" s="3" t="inlineStr">
        <is>
          <t xml:space="preserve">OK</t>
        </is>
      </c>
    </row>
    <row r="195">
      <c r="B195" s="1" t="inlineStr">
        <is>
          <t xml:space="preserve">Put formula "=PRODUCT(Data!E2:E5)" into cell A12.</t>
        </is>
      </c>
      <c r="C195" s="3" t="inlineStr">
        <is>
          <t xml:space="preserve">OK</t>
        </is>
      </c>
    </row>
    <row r="196">
      <c r="B196" s="1" t="inlineStr">
        <is>
          <t xml:space="preserve">Put formula "=PRODUCT(Data!G2:G13)" into cell A13.</t>
        </is>
      </c>
      <c r="C196" s="3" t="inlineStr">
        <is>
          <t xml:space="preserve">OK</t>
        </is>
      </c>
    </row>
    <row r="197">
      <c r="B197" s="1" t="inlineStr">
        <is>
          <t xml:space="preserve">Put formula "=PRODUCT(2,""3"",TRUE)" into cell A14.</t>
        </is>
      </c>
      <c r="C197" s="3" t="inlineStr">
        <is>
          <t xml:space="preserve">OK</t>
        </is>
      </c>
    </row>
    <row r="198">
      <c r="B198" s="1" t="inlineStr">
        <is>
          <t xml:space="preserve">Put formula "=PRODUCT(""x"")" into cell A15.</t>
        </is>
      </c>
      <c r="C198" s="3" t="inlineStr">
        <is>
          <t xml:space="preserve">OK</t>
        </is>
      </c>
    </row>
    <row r="199">
      <c r="B199" s="1" t="inlineStr">
        <is>
          <t xml:space="preserve">Put formula "=PRODUCT(Data!J1:J2)" into cell A16.</t>
        </is>
      </c>
      <c r="C199" s="3" t="inlineStr">
        <is>
          <t xml:space="preserve">OK</t>
        </is>
      </c>
    </row>
    <row r="200">
      <c r="B200" s="1" t="inlineStr">
        <is>
          <t xml:space="preserve">Put formula "=PRODUCT(Data!D2:D13)" into cell A17.</t>
        </is>
      </c>
      <c r="C200" s="3" t="inlineStr">
        <is>
          <t xml:space="preserve">OK</t>
        </is>
      </c>
    </row>
    <row r="201">
      <c r="B201" s="1" t="inlineStr">
        <is>
          <t xml:space="preserve">Put formula "=AVERAGE(Data!E2:E13)" into cell A18.</t>
        </is>
      </c>
      <c r="C201" s="3" t="inlineStr">
        <is>
          <t xml:space="preserve">OK</t>
        </is>
      </c>
    </row>
    <row r="202">
      <c r="B202" s="1" t="inlineStr">
        <is>
          <t xml:space="preserve">Put formula "=AVERAGE(1,""2"",TRUE)" into cell A19.</t>
        </is>
      </c>
      <c r="C202" s="3" t="inlineStr">
        <is>
          <t xml:space="preserve">OK</t>
        </is>
      </c>
    </row>
    <row r="203">
      <c r="B203" s="1" t="inlineStr">
        <is>
          <t xml:space="preserve">Put formula "=AVERAGE(Data!J1:J2)" into cell A20.</t>
        </is>
      </c>
      <c r="C203" s="3" t="inlineStr">
        <is>
          <t xml:space="preserve">OK</t>
        </is>
      </c>
    </row>
    <row r="204">
      <c r="B204" s="1" t="inlineStr">
        <is>
          <t xml:space="preserve">Put formula "=AVERAGE(1,,2)" into cell A21.</t>
        </is>
      </c>
      <c r="C204" s="3" t="inlineStr">
        <is>
          <t xml:space="preserve">OK</t>
        </is>
      </c>
    </row>
    <row r="205">
      <c r="B205" s="1" t="inlineStr">
        <is>
          <t xml:space="preserve">Put formula "=AVERAGE(""x"")" into cell A22.</t>
        </is>
      </c>
      <c r="C205" s="3" t="inlineStr">
        <is>
          <t xml:space="preserve">OK</t>
        </is>
      </c>
    </row>
    <row r="206">
      <c r="B206" s="1" t="inlineStr">
        <is>
          <t xml:space="preserve">Put formula "=AVERAGE(TRUE)" into cell A23.</t>
        </is>
      </c>
      <c r="C206" s="3" t="inlineStr">
        <is>
          <t xml:space="preserve">OK</t>
        </is>
      </c>
    </row>
    <row r="207">
      <c r="B207" s="1" t="inlineStr">
        <is>
          <t xml:space="preserve">Put formula "=AVERAGE(Data!D2:D13)" into cell A24.</t>
        </is>
      </c>
      <c r="C207" s="3" t="inlineStr">
        <is>
          <t xml:space="preserve">OK</t>
        </is>
      </c>
    </row>
    <row r="208">
      <c r="B208" s="1" t="inlineStr">
        <is>
          <t xml:space="preserve">Put formula "=VAR(1,2,3,4)" into cell A25.</t>
        </is>
      </c>
      <c r="C208" s="3" t="inlineStr">
        <is>
          <t xml:space="preserve">OK</t>
        </is>
      </c>
    </row>
    <row r="209">
      <c r="B209" s="1" t="inlineStr">
        <is>
          <t xml:space="preserve">Put formula "=VAR.S(1,2,3,4)" into cell A26.</t>
        </is>
      </c>
      <c r="C209" s="3" t="inlineStr">
        <is>
          <t xml:space="preserve">OK</t>
        </is>
      </c>
    </row>
    <row r="210">
      <c r="B210" s="1" t="inlineStr">
        <is>
          <t xml:space="preserve">Put formula "=VARP(1,2,3,4)" into cell A27.</t>
        </is>
      </c>
      <c r="C210" s="3" t="inlineStr">
        <is>
          <t xml:space="preserve">OK</t>
        </is>
      </c>
    </row>
    <row r="211">
      <c r="B211" s="1" t="inlineStr">
        <is>
          <t xml:space="preserve">Put formula "=VAR.P(1,2,3,4)" into cell A28.</t>
        </is>
      </c>
      <c r="C211" s="3" t="inlineStr">
        <is>
          <t xml:space="preserve">OK</t>
        </is>
      </c>
    </row>
    <row r="212">
      <c r="B212" s="1" t="inlineStr">
        <is>
          <t xml:space="preserve">Put formula "=STDEV(1,2,3,4)" into cell A29.</t>
        </is>
      </c>
      <c r="C212" s="3" t="inlineStr">
        <is>
          <t xml:space="preserve">OK</t>
        </is>
      </c>
    </row>
    <row r="213">
      <c r="B213" s="1" t="inlineStr">
        <is>
          <t xml:space="preserve">Put formula "=STDEV.S(1,2,3,4)" into cell A30.</t>
        </is>
      </c>
      <c r="C213" s="3" t="inlineStr">
        <is>
          <t xml:space="preserve">OK</t>
        </is>
      </c>
    </row>
    <row r="214">
      <c r="B214" s="1" t="inlineStr">
        <is>
          <t xml:space="preserve">Put formula "=STDEVP(1,2,3,4)" into cell A31.</t>
        </is>
      </c>
      <c r="C214" s="3" t="inlineStr">
        <is>
          <t xml:space="preserve">OK</t>
        </is>
      </c>
    </row>
    <row r="215">
      <c r="B215" s="1" t="inlineStr">
        <is>
          <t xml:space="preserve">Put formula "=STDEV.P(1,2,3,4)" into cell A32.</t>
        </is>
      </c>
      <c r="C215" s="3" t="inlineStr">
        <is>
          <t xml:space="preserve">OK</t>
        </is>
      </c>
    </row>
    <row r="216">
      <c r="B216" s="1" t="inlineStr">
        <is>
          <t xml:space="preserve">Put formula "=STDEV(5)" into cell A33.</t>
        </is>
      </c>
      <c r="C216" s="3" t="inlineStr">
        <is>
          <t xml:space="preserve">OK</t>
        </is>
      </c>
    </row>
    <row r="217">
      <c r="B217" s="1" t="inlineStr">
        <is>
          <t xml:space="preserve">Put formula "=STDEVP(5)" into cell A34.</t>
        </is>
      </c>
      <c r="C217" s="3" t="inlineStr">
        <is>
          <t xml:space="preserve">OK</t>
        </is>
      </c>
    </row>
    <row r="218">
      <c r="B218" s="1" t="inlineStr">
        <is>
          <t xml:space="preserve">Put formula "=VARP(Data!J1)" into cell A35.</t>
        </is>
      </c>
      <c r="C218" s="3" t="inlineStr">
        <is>
          <t xml:space="preserve">OK</t>
        </is>
      </c>
    </row>
    <row r="219">
      <c r="B219" s="1" t="inlineStr">
        <is>
          <t xml:space="preserve">Put formula "=VAR(1000000001,1000000002,1000000003)" into cell A36.</t>
        </is>
      </c>
      <c r="C219" s="3" t="inlineStr">
        <is>
          <t xml:space="preserve">OK</t>
        </is>
      </c>
    </row>
    <row r="220">
      <c r="B220" s="1" t="inlineStr">
        <is>
          <t xml:space="preserve">Put formula "=VAR(1E15+1,1E15+2,1E15+3)" into cell A37.</t>
        </is>
      </c>
      <c r="C220" s="3" t="inlineStr">
        <is>
          <t xml:space="preserve">OK</t>
        </is>
      </c>
    </row>
    <row r="221">
      <c r="B221" s="1" t="inlineStr">
        <is>
          <t xml:space="preserve">Put formula "=VAR(0.1,0.2,0.3)" into cell A38.</t>
        </is>
      </c>
      <c r="C221" s="3" t="inlineStr">
        <is>
          <t xml:space="preserve">OK</t>
        </is>
      </c>
    </row>
    <row r="222">
      <c r="B222" s="1" t="inlineStr">
        <is>
          <t xml:space="preserve">Put formula "=STDEV(0.1,0.2,0.3)" into cell A39.</t>
        </is>
      </c>
      <c r="C222" s="3" t="inlineStr">
        <is>
          <t xml:space="preserve">OK</t>
        </is>
      </c>
    </row>
    <row r="223">
      <c r="B223" s="1" t="inlineStr">
        <is>
          <t xml:space="preserve">Put formula "=STDEV(Data!E2:E13)" into cell A40.</t>
        </is>
      </c>
      <c r="C223" s="3" t="inlineStr">
        <is>
          <t xml:space="preserve">OK</t>
        </is>
      </c>
    </row>
    <row r="224">
      <c r="B224" s="1" t="inlineStr">
        <is>
          <t xml:space="preserve">Put formula "=STDEVP(Data!E2:E13)" into cell A41.</t>
        </is>
      </c>
      <c r="C224" s="3" t="inlineStr">
        <is>
          <t xml:space="preserve">OK</t>
        </is>
      </c>
    </row>
    <row r="225">
      <c r="B225" s="1" t="inlineStr">
        <is>
          <t xml:space="preserve">Put formula "=VAR(Data!D2:D13)" into cell A42.</t>
        </is>
      </c>
      <c r="C225" s="3" t="inlineStr">
        <is>
          <t xml:space="preserve">OK</t>
        </is>
      </c>
    </row>
    <row r="226">
      <c r="B226" s="1" t="inlineStr">
        <is>
          <t xml:space="preserve">Put formula "=VARP(Data!D2:D13)" into cell A43.</t>
        </is>
      </c>
      <c r="C226" s="3" t="inlineStr">
        <is>
          <t xml:space="preserve">OK</t>
        </is>
      </c>
    </row>
    <row r="227">
      <c r="B227" s="1" t="inlineStr">
        <is>
          <t xml:space="preserve">Put formula "=STDEV.S(Data!D2:D13)" into cell A44.</t>
        </is>
      </c>
      <c r="C227" s="3" t="inlineStr">
        <is>
          <t xml:space="preserve">OK</t>
        </is>
      </c>
    </row>
    <row r="228">
      <c r="B228" s="1" t="inlineStr">
        <is>
          <t xml:space="preserve">Put formula "=STDEV.P(Data!D2:D13)" into cell A45.</t>
        </is>
      </c>
      <c r="C228" s="3" t="inlineStr">
        <is>
          <t xml:space="preserve">OK</t>
        </is>
      </c>
    </row>
    <row r="229">
      <c r="B229" s="1" t="inlineStr">
        <is>
          <t xml:space="preserve">Put formula "=STDEV(Data!G2:G13)" into cell A46.</t>
        </is>
      </c>
      <c r="C229" s="3" t="inlineStr">
        <is>
          <t xml:space="preserve">OK</t>
        </is>
      </c>
    </row>
    <row r="230">
      <c r="B230" s="1" t="inlineStr">
        <is>
          <t xml:space="preserve">Put formula "=VAR(Data!H2:H13)" into cell A47.</t>
        </is>
      </c>
      <c r="C230" s="3" t="inlineStr">
        <is>
          <t xml:space="preserve">OK</t>
        </is>
      </c>
    </row>
    <row r="231">
      <c r="B231" s="1" t="inlineStr">
        <is>
          <t xml:space="preserve">Put formula "=SUBTOTAL(1,Data!D2:D13)" into cell A48.</t>
        </is>
      </c>
      <c r="C231" s="3" t="inlineStr">
        <is>
          <t xml:space="preserve">OK</t>
        </is>
      </c>
    </row>
    <row r="232">
      <c r="B232" s="1" t="inlineStr">
        <is>
          <t xml:space="preserve">Put formula "=SUBTOTAL(2,Data!D2:D13)" into cell A49.</t>
        </is>
      </c>
      <c r="C232" s="3" t="inlineStr">
        <is>
          <t xml:space="preserve">OK</t>
        </is>
      </c>
    </row>
    <row r="233">
      <c r="B233" s="1" t="inlineStr">
        <is>
          <t xml:space="preserve">Put formula "=SUBTOTAL(3,Data!D2:D13)" into cell A50.</t>
        </is>
      </c>
      <c r="C233" s="3" t="inlineStr">
        <is>
          <t xml:space="preserve">OK</t>
        </is>
      </c>
    </row>
    <row r="234">
      <c r="B234" s="1" t="inlineStr">
        <is>
          <t xml:space="preserve">Put formula "=SUBTOTAL(4,Data!D2:D13)" into cell A51.</t>
        </is>
      </c>
      <c r="C234" s="3" t="inlineStr">
        <is>
          <t xml:space="preserve">OK</t>
        </is>
      </c>
    </row>
    <row r="235">
      <c r="B235" s="1" t="inlineStr">
        <is>
          <t xml:space="preserve">Put formula "=SUBTOTAL(5,Data!D2:D13)" into cell A52.</t>
        </is>
      </c>
      <c r="C235" s="3" t="inlineStr">
        <is>
          <t xml:space="preserve">OK</t>
        </is>
      </c>
    </row>
    <row r="236">
      <c r="B236" s="1" t="inlineStr">
        <is>
          <t xml:space="preserve">Put formula "=SUBTOTAL(6,Data!D2:D13)" into cell A53.</t>
        </is>
      </c>
      <c r="C236" s="3" t="inlineStr">
        <is>
          <t xml:space="preserve">OK</t>
        </is>
      </c>
    </row>
    <row r="237">
      <c r="B237" s="1" t="inlineStr">
        <is>
          <t xml:space="preserve">Put formula "=SUBTOTAL(7,Data!D2:D13)" into cell A54.</t>
        </is>
      </c>
      <c r="C237" s="3" t="inlineStr">
        <is>
          <t xml:space="preserve">OK</t>
        </is>
      </c>
    </row>
    <row r="238">
      <c r="B238" s="1" t="inlineStr">
        <is>
          <t xml:space="preserve">Put formula "=SUBTOTAL(8,Data!D2:D13)" into cell A55.</t>
        </is>
      </c>
      <c r="C238" s="3" t="inlineStr">
        <is>
          <t xml:space="preserve">OK</t>
        </is>
      </c>
    </row>
    <row r="239">
      <c r="B239" s="1" t="inlineStr">
        <is>
          <t xml:space="preserve">Put formula "=SUBTOTAL(9,Data!D2:D13)" into cell A56.</t>
        </is>
      </c>
      <c r="C239" s="3" t="inlineStr">
        <is>
          <t xml:space="preserve">OK</t>
        </is>
      </c>
    </row>
    <row r="240">
      <c r="B240" s="1" t="inlineStr">
        <is>
          <t xml:space="preserve">Put formula "=SUBTOTAL(10,Data!D2:D13)" into cell A57.</t>
        </is>
      </c>
      <c r="C240" s="3" t="inlineStr">
        <is>
          <t xml:space="preserve">OK</t>
        </is>
      </c>
    </row>
    <row r="241">
      <c r="B241" s="1" t="inlineStr">
        <is>
          <t xml:space="preserve">Put formula "=SUBTOTAL(11,Data!D2:D13)" into cell A58.</t>
        </is>
      </c>
      <c r="C241" s="3" t="inlineStr">
        <is>
          <t xml:space="preserve">OK</t>
        </is>
      </c>
    </row>
    <row r="242">
      <c r="B242" s="1" t="inlineStr">
        <is>
          <t xml:space="preserve">Put formula "=SUBTOTAL(101,Data!D2:D13)" into cell A59.</t>
        </is>
      </c>
      <c r="C242" s="3" t="inlineStr">
        <is>
          <t xml:space="preserve">OK</t>
        </is>
      </c>
    </row>
    <row r="243">
      <c r="B243" s="1" t="inlineStr">
        <is>
          <t xml:space="preserve">Put formula "=SUBTOTAL(102,Data!D2:D13)" into cell A60.</t>
        </is>
      </c>
      <c r="C243" s="3" t="inlineStr">
        <is>
          <t xml:space="preserve">OK</t>
        </is>
      </c>
    </row>
    <row r="244">
      <c r="B244" s="1" t="inlineStr">
        <is>
          <t xml:space="preserve">Put formula "=SUBTOTAL(103,Data!D2:D13)" into cell A61.</t>
        </is>
      </c>
      <c r="C244" s="3" t="inlineStr">
        <is>
          <t xml:space="preserve">OK</t>
        </is>
      </c>
    </row>
    <row r="245">
      <c r="B245" s="1" t="inlineStr">
        <is>
          <t xml:space="preserve">Put formula "=SUBTOTAL(104,Data!D2:D13)" into cell A62.</t>
        </is>
      </c>
      <c r="C245" s="3" t="inlineStr">
        <is>
          <t xml:space="preserve">OK</t>
        </is>
      </c>
    </row>
    <row r="246">
      <c r="B246" s="1" t="inlineStr">
        <is>
          <t xml:space="preserve">Put formula "=SUBTOTAL(105,Data!D2:D13)" into cell A63.</t>
        </is>
      </c>
      <c r="C246" s="3" t="inlineStr">
        <is>
          <t xml:space="preserve">OK</t>
        </is>
      </c>
    </row>
    <row r="247">
      <c r="B247" s="1" t="inlineStr">
        <is>
          <t xml:space="preserve">Put formula "=SUBTOTAL(106,Data!D2:D13)" into cell A64.</t>
        </is>
      </c>
      <c r="C247" s="3" t="inlineStr">
        <is>
          <t xml:space="preserve">OK</t>
        </is>
      </c>
    </row>
    <row r="248">
      <c r="B248" s="1" t="inlineStr">
        <is>
          <t xml:space="preserve">Put formula "=SUBTOTAL(107,Data!D2:D13)" into cell A65.</t>
        </is>
      </c>
      <c r="C248" s="3" t="inlineStr">
        <is>
          <t xml:space="preserve">OK</t>
        </is>
      </c>
    </row>
    <row r="249">
      <c r="B249" s="1" t="inlineStr">
        <is>
          <t xml:space="preserve">Put formula "=SUBTOTAL(108,Data!D2:D13)" into cell A66.</t>
        </is>
      </c>
      <c r="C249" s="3" t="inlineStr">
        <is>
          <t xml:space="preserve">OK</t>
        </is>
      </c>
    </row>
    <row r="250">
      <c r="B250" s="1" t="inlineStr">
        <is>
          <t xml:space="preserve">Put formula "=SUBTOTAL(109,Data!D2:D13)" into cell A67.</t>
        </is>
      </c>
      <c r="C250" s="3" t="inlineStr">
        <is>
          <t xml:space="preserve">OK</t>
        </is>
      </c>
    </row>
    <row r="251">
      <c r="B251" s="1" t="inlineStr">
        <is>
          <t xml:space="preserve">Put formula "=SUBTOTAL(110,Data!D2:D13)" into cell A68.</t>
        </is>
      </c>
      <c r="C251" s="3" t="inlineStr">
        <is>
          <t xml:space="preserve">OK</t>
        </is>
      </c>
    </row>
    <row r="252">
      <c r="B252" s="1" t="inlineStr">
        <is>
          <t xml:space="preserve">Put formula "=SUBTOTAL(111,Data!D2:D13)" into cell A69.</t>
        </is>
      </c>
      <c r="C252" s="3" t="inlineStr">
        <is>
          <t xml:space="preserve">OK</t>
        </is>
      </c>
    </row>
    <row r="253">
      <c r="B253" s="1" t="inlineStr">
        <is>
          <t xml:space="preserve">Put formula "=SUBTOTAL(102,Data!G2:G13)" into cell A70.</t>
        </is>
      </c>
      <c r="C253" s="3" t="inlineStr">
        <is>
          <t xml:space="preserve">OK</t>
        </is>
      </c>
    </row>
    <row r="254">
      <c r="B254" s="1" t="inlineStr">
        <is>
          <t xml:space="preserve">Put formula "=SUBTOTAL(103,Data!A2:A13)" into cell A71.</t>
        </is>
      </c>
      <c r="C254" s="3" t="inlineStr">
        <is>
          <t xml:space="preserve">OK</t>
        </is>
      </c>
    </row>
    <row r="255">
      <c r="B255" s="1" t="inlineStr">
        <is>
          <t xml:space="preserve">Put formula "=SUBTOTAL(103,Data!F2:F13)" into cell A72.</t>
        </is>
      </c>
      <c r="C255" s="3" t="inlineStr">
        <is>
          <t xml:space="preserve">OK</t>
        </is>
      </c>
    </row>
    <row r="256">
      <c r="B256" s="1" t="inlineStr">
        <is>
          <t xml:space="preserve">Put formula "=SUBTOTAL(9,Data!D2:D5)" into cell A73.</t>
        </is>
      </c>
      <c r="C256" s="3" t="inlineStr">
        <is>
          <t xml:space="preserve">OK</t>
        </is>
      </c>
    </row>
    <row r="257">
      <c r="B257" s="1" t="inlineStr">
        <is>
          <t xml:space="preserve">Put formula "=SUBTOTAL(109,Data!D2:D13,Data!E2:E13)" into cell A74.</t>
        </is>
      </c>
      <c r="C257" s="3" t="inlineStr">
        <is>
          <t xml:space="preserve">OK</t>
        </is>
      </c>
    </row>
    <row r="258">
      <c r="B258" s="1" t="inlineStr">
        <is>
          <t xml:space="preserve">Put formula "=SUBTOTAL(9,Data!X1:X5)" into cell A75.</t>
        </is>
      </c>
      <c r="C258" s="3" t="inlineStr">
        <is>
          <t xml:space="preserve">OK</t>
        </is>
      </c>
    </row>
    <row r="259">
      <c r="B259" s="1" t="inlineStr">
        <is>
          <t xml:space="preserve">Put formula "=SUBTOTAL(109,Data!X1:X5)" into cell A76.</t>
        </is>
      </c>
      <c r="C259" s="3" t="inlineStr">
        <is>
          <t xml:space="preserve">OK</t>
        </is>
      </c>
    </row>
    <row r="260">
      <c r="B260" s="1" t="inlineStr">
        <is>
          <t xml:space="preserve">Put formula "=SUBTOTAL(9,Data!G2:G13)" into cell A77.</t>
        </is>
      </c>
      <c r="C260" s="3" t="inlineStr">
        <is>
          <t xml:space="preserve">OK</t>
        </is>
      </c>
    </row>
    <row r="261">
      <c r="B261" s="1" t="inlineStr">
        <is>
          <t xml:space="preserve">Put formula "=SUBTOTAL(109,Data!G2:G13)" into cell A78.</t>
        </is>
      </c>
      <c r="C261" s="3" t="inlineStr">
        <is>
          <t xml:space="preserve">OK</t>
        </is>
      </c>
    </row>
    <row r="262">
      <c r="B262" s="1" t="inlineStr">
        <is>
          <t xml:space="preserve">Put formula "=SUBTOTAL(0,Data!D2:D3)" into cell A79.</t>
        </is>
      </c>
      <c r="C262" s="3" t="inlineStr">
        <is>
          <t xml:space="preserve">OK</t>
        </is>
      </c>
    </row>
    <row r="263">
      <c r="B263" s="1" t="inlineStr">
        <is>
          <t xml:space="preserve">Put formula "=SUBTOTAL(12,Data!D2:D3)" into cell A80.</t>
        </is>
      </c>
      <c r="C263" s="3" t="inlineStr">
        <is>
          <t xml:space="preserve">OK</t>
        </is>
      </c>
    </row>
    <row r="264">
      <c r="B264" s="1" t="inlineStr">
        <is>
          <t xml:space="preserve">Put formula "=SUBTOTAL(100,Data!D2:D3)" into cell A81.</t>
        </is>
      </c>
      <c r="C264" s="3" t="inlineStr">
        <is>
          <t xml:space="preserve">OK</t>
        </is>
      </c>
    </row>
    <row r="265">
      <c r="B265" s="1" t="inlineStr">
        <is>
          <t xml:space="preserve">Put formula "=SUBTOTAL(112,Data!D2:D3)" into cell A82.</t>
        </is>
      </c>
      <c r="C265" s="3" t="inlineStr">
        <is>
          <t xml:space="preserve">OK</t>
        </is>
      </c>
    </row>
    <row r="266">
      <c r="B266" s="1" t="inlineStr">
        <is>
          <t xml:space="preserve">Put formula "=SUBTOTAL(-9,Data!D2:D3)" into cell A83.</t>
        </is>
      </c>
      <c r="C266" s="3" t="inlineStr">
        <is>
          <t xml:space="preserve">OK</t>
        </is>
      </c>
    </row>
    <row r="267">
      <c r="B267" s="1" t="inlineStr">
        <is>
          <t xml:space="preserve">Put formula "=SUBTOTAL(9.7,Data!D2:D3)" into cell A84.</t>
        </is>
      </c>
      <c r="C267" s="3" t="inlineStr">
        <is>
          <t xml:space="preserve">OK</t>
        </is>
      </c>
    </row>
    <row r="268">
      <c r="B268" s="1" t="inlineStr">
        <is>
          <t xml:space="preserve">Put formula "=SUBTOTAL(""9"",Data!D2:D3)" into cell A85.</t>
        </is>
      </c>
      <c r="C268" s="3" t="inlineStr">
        <is>
          <t xml:space="preserve">OK</t>
        </is>
      </c>
    </row>
    <row r="269">
      <c r="B269" s="1" t="inlineStr">
        <is>
          <t xml:space="preserve">Put formula "=COUNTIF(Data!F2:F13,""~~*"")" into cell A86.</t>
        </is>
      </c>
      <c r="C269" s="3" t="inlineStr">
        <is>
          <t xml:space="preserve">OK</t>
        </is>
      </c>
    </row>
    <row r="270">
      <c r="B270" s="1" t="inlineStr">
        <is>
          <t xml:space="preserve">Put formula "=SUBTOTAL(109,Data!D2:H2)" into cell A87.</t>
        </is>
      </c>
      <c r="C270" s="3" t="inlineStr">
        <is>
          <t xml:space="preserve">OK</t>
        </is>
      </c>
    </row>
    <row r="271">
      <c r="B271" s="1" t="inlineStr">
        <is>
          <t xml:space="preserve">Put formula "=SUBTOTAL(109,Data!D6:H6)" into cell A88.</t>
        </is>
      </c>
      <c r="C271" s="3" t="inlineStr">
        <is>
          <t xml:space="preserve">OK</t>
        </is>
      </c>
    </row>
    <row r="272">
      <c r="B272" s="1" t="inlineStr">
        <is>
          <t xml:space="preserve">Put formula "=SUBTOTAL(9,Data!D6)" into cell A89.</t>
        </is>
      </c>
      <c r="C272" s="3" t="inlineStr">
        <is>
          <t xml:space="preserve">OK</t>
        </is>
      </c>
    </row>
    <row r="273">
      <c r="B273" s="1" t="inlineStr">
        <is>
          <t xml:space="preserve">Put formula "=SUBTOTAL(9,Data!D7:H7)" into cell A90.</t>
        </is>
      </c>
      <c r="C273" s="3" t="inlineStr">
        <is>
          <t xml:space="preserve">OK</t>
        </is>
      </c>
    </row>
    <row r="274">
      <c r="B274" s="1" t="inlineStr">
        <is>
          <t xml:space="preserve">Put formula "=SUMIFS(Data!D2:D13,Data!A2:A13,""Cash"")" into cell A91.</t>
        </is>
      </c>
      <c r="C274" s="3" t="inlineStr">
        <is>
          <t xml:space="preserve">OK</t>
        </is>
      </c>
    </row>
    <row r="275">
      <c r="B275" s="1" t="inlineStr">
        <is>
          <t xml:space="preserve">Put formula "=SUMIFS(Data!D2:D13,Data!A2:A13,""Cash"",Data!B2:B13,3)" into cell A92.</t>
        </is>
      </c>
      <c r="C275" s="3" t="inlineStr">
        <is>
          <t xml:space="preserve">OK</t>
        </is>
      </c>
    </row>
    <row r="276">
      <c r="B276" s="1" t="inlineStr">
        <is>
          <t xml:space="preserve">Put formula "=SUMIFS(Data!D2:D13,Data!A2:A13,""Cash"",Data!B2:B13,""&gt;1"")" into cell A93.</t>
        </is>
      </c>
      <c r="C276" s="3" t="inlineStr">
        <is>
          <t xml:space="preserve">OK</t>
        </is>
      </c>
    </row>
    <row r="277">
      <c r="B277" s="1" t="inlineStr">
        <is>
          <t xml:space="preserve">Put formula "=SUMIFS(Data!D2:D13,Data!C2:C13,""east"")" into cell A94.</t>
        </is>
      </c>
      <c r="C277" s="3" t="inlineStr">
        <is>
          <t xml:space="preserve">OK</t>
        </is>
      </c>
    </row>
    <row r="278">
      <c r="B278" s="1" t="inlineStr">
        <is>
          <t xml:space="preserve">Put formula "=SUMIFS(Data!D2:D13,Data!A2:A13,""B*"")" into cell A95.</t>
        </is>
      </c>
      <c r="C278" s="3" t="inlineStr">
        <is>
          <t xml:space="preserve">OK</t>
        </is>
      </c>
    </row>
    <row r="279">
      <c r="B279" s="1" t="inlineStr">
        <is>
          <t xml:space="preserve">Put formula "=SUMIFS(Data!D2:D13,Data!A2:A13,""?a??"")" into cell A96.</t>
        </is>
      </c>
      <c r="C279" s="3" t="inlineStr">
        <is>
          <t xml:space="preserve">OK</t>
        </is>
      </c>
    </row>
    <row r="280">
      <c r="B280" s="1" t="inlineStr">
        <is>
          <t xml:space="preserve">Put formula "=SUMIFS(Data!D2:D13,Data!A2:A13,"""")" into cell A97.</t>
        </is>
      </c>
      <c r="C280" s="3" t="inlineStr">
        <is>
          <t xml:space="preserve">OK</t>
        </is>
      </c>
    </row>
    <row r="281">
      <c r="B281" s="1" t="inlineStr">
        <is>
          <t xml:space="preserve">Put formula "=SUMIFS(Data!D2:D13,Data!A2:A13,""="")" into cell A98.</t>
        </is>
      </c>
      <c r="C281" s="3" t="inlineStr">
        <is>
          <t xml:space="preserve">OK</t>
        </is>
      </c>
    </row>
    <row r="282">
      <c r="B282" s="1" t="inlineStr">
        <is>
          <t xml:space="preserve">Put formula "=SUMIFS(Data!D2:D13,Data!A2:A13,""&lt;&gt;"")" into cell A99.</t>
        </is>
      </c>
      <c r="C282" s="3" t="inlineStr">
        <is>
          <t xml:space="preserve">OK</t>
        </is>
      </c>
    </row>
    <row r="283">
      <c r="B283" s="1" t="inlineStr">
        <is>
          <t xml:space="preserve">Put formula "=SUMIFS(Data!D2:D13,Data!B2:B13,""3"")" into cell A100.</t>
        </is>
      </c>
      <c r="C283" s="3" t="inlineStr">
        <is>
          <t xml:space="preserve">OK</t>
        </is>
      </c>
    </row>
    <row r="284">
      <c r="B284" s="1" t="inlineStr">
        <is>
          <t xml:space="preserve">Put formula "=SUMIFS(Data!D2:D13,Data!B2:B13,3)" into cell A101.</t>
        </is>
      </c>
      <c r="C284" s="3" t="inlineStr">
        <is>
          <t xml:space="preserve">OK</t>
        </is>
      </c>
    </row>
    <row r="285">
      <c r="B285" s="1" t="inlineStr">
        <is>
          <t xml:space="preserve">Put formula "=SUMIFS(Data!D2:D13,Data!B2:B13,""&gt;=3"")" into cell A102.</t>
        </is>
      </c>
      <c r="C285" s="3" t="inlineStr">
        <is>
          <t xml:space="preserve">OK</t>
        </is>
      </c>
    </row>
    <row r="286">
      <c r="B286" s="1" t="inlineStr">
        <is>
          <t xml:space="preserve">Put formula "=SUMIFS(Data!D2:D13,Data!B2:B13,""&lt;&gt;3"")" into cell A103.</t>
        </is>
      </c>
      <c r="C286" s="3" t="inlineStr">
        <is>
          <t xml:space="preserve">OK</t>
        </is>
      </c>
    </row>
    <row r="287">
      <c r="B287" s="1" t="inlineStr">
        <is>
          <t xml:space="preserve">Put formula "=SUMIFS(Data!D2:D13,Data!G2:G13,TRUE)" into cell A104.</t>
        </is>
      </c>
      <c r="C287" s="3" t="inlineStr">
        <is>
          <t xml:space="preserve">OK</t>
        </is>
      </c>
    </row>
    <row r="288">
      <c r="B288" s="1" t="inlineStr">
        <is>
          <t xml:space="preserve">Put formula "=SUMIFS(Data!D2:D13,Data!G2:G13,""#DIV/0!"")" into cell A105.</t>
        </is>
      </c>
      <c r="C288" s="3" t="inlineStr">
        <is>
          <t xml:space="preserve">OK</t>
        </is>
      </c>
    </row>
    <row r="289">
      <c r="B289" s="1" t="inlineStr">
        <is>
          <t xml:space="preserve">Put formula "=SUMIFS(Data!D2:D13,Data!F2:F13,""a~*b"")" into cell A106.</t>
        </is>
      </c>
      <c r="C289" s="3" t="inlineStr">
        <is>
          <t xml:space="preserve">OK</t>
        </is>
      </c>
    </row>
    <row r="290">
      <c r="B290" s="1" t="inlineStr">
        <is>
          <t xml:space="preserve">Put formula "=SUMIFS(Data!D2:D13,Data!F2:F13,""a?b"")" into cell A107.</t>
        </is>
      </c>
      <c r="C290" s="3" t="inlineStr">
        <is>
          <t xml:space="preserve">OK</t>
        </is>
      </c>
    </row>
    <row r="291">
      <c r="B291" s="1" t="inlineStr">
        <is>
          <t xml:space="preserve">Put formula "=SUMIFS(Data!D2:D13,Data!F2:F13,""~~tilde"")" into cell A108.</t>
        </is>
      </c>
      <c r="C291" s="3" t="inlineStr">
        <is>
          <t xml:space="preserve">OK</t>
        </is>
      </c>
    </row>
    <row r="292">
      <c r="B292" s="1" t="inlineStr">
        <is>
          <t xml:space="preserve">Put formula "=SUMIFS(Data!D2:D13,Data!F2:F13,""*"")" into cell A109.</t>
        </is>
      </c>
      <c r="C292" s="3" t="inlineStr">
        <is>
          <t xml:space="preserve">OK</t>
        </is>
      </c>
    </row>
    <row r="293">
      <c r="B293" s="1" t="inlineStr">
        <is>
          <t xml:space="preserve">Put formula "=SUMIFS(Data!D2:D13,Data!F2:F13,""?*"")" into cell A110.</t>
        </is>
      </c>
      <c r="C293" s="3" t="inlineStr">
        <is>
          <t xml:space="preserve">OK</t>
        </is>
      </c>
    </row>
    <row r="294">
      <c r="B294" s="1" t="inlineStr">
        <is>
          <t xml:space="preserve">Put formula "=SUMIFS(Data!D2:D13,Data!B2:B13,""&gt;1"",Data!B2:B13,""&lt;3"")" into cell A111.</t>
        </is>
      </c>
      <c r="C294" s="3" t="inlineStr">
        <is>
          <t xml:space="preserve">OK</t>
        </is>
      </c>
    </row>
    <row r="295">
      <c r="B295" s="1" t="inlineStr">
        <is>
          <t xml:space="preserve">Put formula "=SUMIFS(Data!G2:G13,Data!A2:A13,""Card"")" into cell A112.</t>
        </is>
      </c>
      <c r="C295" s="3" t="inlineStr">
        <is>
          <t xml:space="preserve">OK</t>
        </is>
      </c>
    </row>
    <row r="296">
      <c r="B296" s="1" t="inlineStr">
        <is>
          <t xml:space="preserve">Put formula "=SUMIFS(Data!G2:G13,Data!A2:A13,""Cash"")" into cell A113.</t>
        </is>
      </c>
      <c r="C296" s="3" t="inlineStr">
        <is>
          <t xml:space="preserve">OK</t>
        </is>
      </c>
    </row>
    <row r="297">
      <c r="B297" s="1" t="inlineStr">
        <is>
          <t xml:space="preserve">Put formula "=SUMIFS(Data!D2:D13,Data!A2:A12,""Cash"")" into cell A114.</t>
        </is>
      </c>
      <c r="C297" s="3" t="inlineStr">
        <is>
          <t xml:space="preserve">OK</t>
        </is>
      </c>
    </row>
    <row r="298">
      <c r="B298" s="1" t="inlineStr">
        <is>
          <t xml:space="preserve">Put formula "=SUMIFS(Data!D2:D13,Data!A2:A13,Data!J1)" into cell A115.</t>
        </is>
      </c>
      <c r="C298" s="3" t="inlineStr">
        <is>
          <t xml:space="preserve">OK</t>
        </is>
      </c>
    </row>
    <row r="299">
      <c r="B299" s="1" t="inlineStr">
        <is>
          <t xml:space="preserve">Put formula "=SUMIFS(Data!D2:D13,Data!H2:H13,""&gt;=""&amp;DATE(2026,2,1))" into cell A116.</t>
        </is>
      </c>
      <c r="C299" s="3" t="inlineStr">
        <is>
          <t xml:space="preserve">OK</t>
        </is>
      </c>
    </row>
    <row r="300">
      <c r="B300" s="1" t="inlineStr">
        <is>
          <t xml:space="preserve">Put formula "=SUMIFS(Data!D:D,Data!A:A,""Cash"")" into cell A117.</t>
        </is>
      </c>
      <c r="C300" s="3" t="inlineStr">
        <is>
          <t xml:space="preserve">OK</t>
        </is>
      </c>
    </row>
    <row r="301">
      <c r="B301" s="1" t="inlineStr">
        <is>
          <t xml:space="preserve">Put formula "=SUMIFS(Data!D2:E13,Data!A2:B13,""Cash"")" into cell A118.</t>
        </is>
      </c>
      <c r="C301" s="3" t="inlineStr">
        <is>
          <t xml:space="preserve">OK</t>
        </is>
      </c>
    </row>
    <row r="302">
      <c r="B302" s="1" t="inlineStr">
        <is>
          <t xml:space="preserve">Put formula "=SUMIFS(Data!D2:D13,Data!A2:A13,""Cash"",Data!C2:C13,""East"",Data!E2:E13,""&gt;2"")" into cell A119.</t>
        </is>
      </c>
      <c r="C302" s="3" t="inlineStr">
        <is>
          <t xml:space="preserve">OK</t>
        </is>
      </c>
    </row>
    <row r="303">
      <c r="B303" s="1" t="inlineStr">
        <is>
          <t xml:space="preserve">Put formula "=COUNTIFS(Data!A2:A13,""Cash"",Data!B2:B13,""&gt;1"")" into cell A120.</t>
        </is>
      </c>
      <c r="C303" s="3" t="inlineStr">
        <is>
          <t xml:space="preserve">OK</t>
        </is>
      </c>
    </row>
    <row r="304">
      <c r="B304" s="1" t="inlineStr">
        <is>
          <t xml:space="preserve">Put formula "=COUNTIFS(Data!A2:A13,""&lt;&gt;Cash"")" into cell A121.</t>
        </is>
      </c>
      <c r="C304" s="3" t="inlineStr">
        <is>
          <t xml:space="preserve">OK</t>
        </is>
      </c>
    </row>
    <row r="305">
      <c r="B305" s="1" t="inlineStr">
        <is>
          <t xml:space="preserve">Put formula "=COUNTIFS(Data!F2:F13,"""")" into cell A122.</t>
        </is>
      </c>
      <c r="C305" s="3" t="inlineStr">
        <is>
          <t xml:space="preserve">OK</t>
        </is>
      </c>
    </row>
    <row r="306">
      <c r="B306" s="1" t="inlineStr">
        <is>
          <t xml:space="preserve">Put formula "=COUNTIFS(Data!A2:A13,""*"")" into cell A123.</t>
        </is>
      </c>
      <c r="C306" s="3" t="inlineStr">
        <is>
          <t xml:space="preserve">OK</t>
        </is>
      </c>
    </row>
    <row r="307">
      <c r="B307" s="1" t="inlineStr">
        <is>
          <t xml:space="preserve">Put formula "=COUNTIFS(Data!A:A,""Cash"")" into cell A124.</t>
        </is>
      </c>
      <c r="C307" s="3" t="inlineStr">
        <is>
          <t xml:space="preserve">OK</t>
        </is>
      </c>
    </row>
    <row r="308">
      <c r="B308" s="1" t="inlineStr">
        <is>
          <t xml:space="preserve">Put formula "=COUNTIFS(Data!A:A,"""")" into cell A125.</t>
        </is>
      </c>
      <c r="C308" s="3" t="inlineStr">
        <is>
          <t xml:space="preserve">OK</t>
        </is>
      </c>
    </row>
    <row r="309">
      <c r="B309" s="1" t="inlineStr">
        <is>
          <t xml:space="preserve">Put formula "=COUNTIFS(Data!A:A,"""",Data!B:B,"""")" into cell A126.</t>
        </is>
      </c>
      <c r="C309" s="3" t="inlineStr">
        <is>
          <t xml:space="preserve">OK</t>
        </is>
      </c>
    </row>
    <row r="310">
      <c r="B310" s="1" t="inlineStr">
        <is>
          <t xml:space="preserve">Put formula "=COUNTIFS(Data!A2:A13,""Cash"",Data!B2:B12,3)" into cell A127.</t>
        </is>
      </c>
      <c r="C310" s="3" t="inlineStr">
        <is>
          <t xml:space="preserve">OK</t>
        </is>
      </c>
    </row>
    <row r="311">
      <c r="B311" s="1" t="inlineStr">
        <is>
          <t xml:space="preserve">Put formula "=COUNTIFS(Data!B2:B13,Data!J1)" into cell A128.</t>
        </is>
      </c>
      <c r="C311" s="3" t="inlineStr">
        <is>
          <t xml:space="preserve">OK</t>
        </is>
      </c>
    </row>
    <row r="312">
      <c r="B312" s="1" t="inlineStr">
        <is>
          <t xml:space="preserve">Put formula "=COUNTIFS(Data!E2:E13,Data!J1)" into cell A129.</t>
        </is>
      </c>
      <c r="C312" s="3" t="inlineStr">
        <is>
          <t xml:space="preserve">OK</t>
        </is>
      </c>
    </row>
    <row r="313">
      <c r="B313" s="1" t="inlineStr">
        <is>
          <t xml:space="preserve">Put formula "=COUNTIFS(Data!G2:G13,""&lt;&gt;#DIV/0!"")" into cell A130.</t>
        </is>
      </c>
      <c r="C313" s="3" t="inlineStr">
        <is>
          <t xml:space="preserve">OK</t>
        </is>
      </c>
    </row>
    <row r="314">
      <c r="B314" s="1" t="inlineStr">
        <is>
          <t xml:space="preserve">Put formula "=COUNTIFS(Data!G2:G13,""&gt;=2"")" into cell A131.</t>
        </is>
      </c>
      <c r="C314" s="3" t="inlineStr">
        <is>
          <t xml:space="preserve">OK</t>
        </is>
      </c>
    </row>
    <row r="315">
      <c r="B315" s="1" t="inlineStr">
        <is>
          <t xml:space="preserve">Put formula "=COUNTIFS(Data!A2:A13,""cash"",Data!C2:C13,""EAST"")" into cell A132.</t>
        </is>
      </c>
      <c r="C315" s="3" t="inlineStr">
        <is>
          <t xml:space="preserve">OK</t>
        </is>
      </c>
    </row>
    <row r="316">
      <c r="B316" s="1" t="inlineStr">
        <is>
          <t xml:space="preserve">Put formula "=AVERAGEIF(Data!D2:D13,""&gt;100"")" into cell A133.</t>
        </is>
      </c>
      <c r="C316" s="3" t="inlineStr">
        <is>
          <t xml:space="preserve">OK</t>
        </is>
      </c>
    </row>
    <row r="317">
      <c r="B317" s="1" t="inlineStr">
        <is>
          <t xml:space="preserve">Put formula "=AVERAGEIF(Data!A2:A13,""Cash"",Data!D2:D13)" into cell A134.</t>
        </is>
      </c>
      <c r="C317" s="3" t="inlineStr">
        <is>
          <t xml:space="preserve">OK</t>
        </is>
      </c>
    </row>
    <row r="318">
      <c r="B318" s="1" t="inlineStr">
        <is>
          <t xml:space="preserve">Put formula "=AVERAGEIF(Data!A2:A13,""Cash"",Data!D2)" into cell A135.</t>
        </is>
      </c>
      <c r="C318" s="3" t="inlineStr">
        <is>
          <t xml:space="preserve">OK</t>
        </is>
      </c>
    </row>
    <row r="319">
      <c r="B319" s="1" t="inlineStr">
        <is>
          <t xml:space="preserve">Put formula "=AVERAGEIF(Data!A2:A13,""Cash"",Data!D2:E13)" into cell A136.</t>
        </is>
      </c>
      <c r="C319" s="3" t="inlineStr">
        <is>
          <t xml:space="preserve">OK</t>
        </is>
      </c>
    </row>
    <row r="320">
      <c r="B320" s="1" t="inlineStr">
        <is>
          <t xml:space="preserve">Put formula "=AVERAGEIF(Data!A2:A13,""Nope"",Data!D2:D13)" into cell A137.</t>
        </is>
      </c>
      <c r="C320" s="3" t="inlineStr">
        <is>
          <t xml:space="preserve">OK</t>
        </is>
      </c>
    </row>
    <row r="321">
      <c r="B321" s="1" t="inlineStr">
        <is>
          <t xml:space="preserve">Put formula "=AVERAGEIF(Data!G2:G13,""&gt;0"")" into cell A138.</t>
        </is>
      </c>
      <c r="C321" s="3" t="inlineStr">
        <is>
          <t xml:space="preserve">OK</t>
        </is>
      </c>
    </row>
    <row r="322">
      <c r="B322" s="1" t="inlineStr">
        <is>
          <t xml:space="preserve">Put formula "=AVERAGEIF(Data!G2:G13,""&lt;&gt;"")" into cell A139.</t>
        </is>
      </c>
      <c r="C322" s="3" t="inlineStr">
        <is>
          <t xml:space="preserve">OK</t>
        </is>
      </c>
    </row>
    <row r="323">
      <c r="B323" s="1" t="inlineStr">
        <is>
          <t xml:space="preserve">Put formula "=AVERAGEIFS(Data!D2:D13,Data!A2:A13,""Cash"",Data!B2:B13,3)" into cell A140.</t>
        </is>
      </c>
      <c r="C323" s="3" t="inlineStr">
        <is>
          <t xml:space="preserve">OK</t>
        </is>
      </c>
    </row>
    <row r="324">
      <c r="B324" s="1" t="inlineStr">
        <is>
          <t xml:space="preserve">Put formula "=AVERAGEIFS(Data!D2:D13,Data!A2:A13,""Nope"")" into cell A141.</t>
        </is>
      </c>
      <c r="C324" s="3" t="inlineStr">
        <is>
          <t xml:space="preserve">OK</t>
        </is>
      </c>
    </row>
    <row r="325">
      <c r="B325" s="1" t="inlineStr">
        <is>
          <t xml:space="preserve">Put formula "=AVERAGEIFS(Data!G2:G13,Data!A2:A13,""Cash"")" into cell A142.</t>
        </is>
      </c>
      <c r="C325" s="3" t="inlineStr">
        <is>
          <t xml:space="preserve">OK</t>
        </is>
      </c>
    </row>
    <row r="326">
      <c r="B326" s="1" t="inlineStr">
        <is>
          <t xml:space="preserve">Put formula "=AVERAGEIFS(Data!D2:D13,Data!A2:A12,""Cash"")" into cell A143.</t>
        </is>
      </c>
      <c r="C326" s="3" t="inlineStr">
        <is>
          <t xml:space="preserve">OK</t>
        </is>
      </c>
    </row>
    <row r="327">
      <c r="B327" s="1" t="inlineStr">
        <is>
          <t xml:space="preserve">Put formula "=MAXIFS(Data!D2:D13,Data!A2:A13,""Card"")" into cell A144.</t>
        </is>
      </c>
      <c r="C327" s="3" t="inlineStr">
        <is>
          <t xml:space="preserve">OK</t>
        </is>
      </c>
    </row>
    <row r="328">
      <c r="B328" s="1" t="inlineStr">
        <is>
          <t xml:space="preserve">Put formula "=MINIFS(Data!D2:D13,Data!A2:A13,""Card"")" into cell A145.</t>
        </is>
      </c>
      <c r="C328" s="3" t="inlineStr">
        <is>
          <t xml:space="preserve">OK</t>
        </is>
      </c>
    </row>
    <row r="329">
      <c r="B329" s="1" t="inlineStr">
        <is>
          <t xml:space="preserve">Put formula "=MAXIFS(Data!D2:D13,Data!A2:A13,""Nope"")" into cell A146.</t>
        </is>
      </c>
      <c r="C329" s="3" t="inlineStr">
        <is>
          <t xml:space="preserve">OK</t>
        </is>
      </c>
    </row>
    <row r="330">
      <c r="B330" s="1" t="inlineStr">
        <is>
          <t xml:space="preserve">Put formula "=MINIFS(Data!D2:D13,Data!A2:A13,""Nope"")" into cell A147.</t>
        </is>
      </c>
      <c r="C330" s="3" t="inlineStr">
        <is>
          <t xml:space="preserve">OK</t>
        </is>
      </c>
    </row>
    <row r="331">
      <c r="B331" s="1" t="inlineStr">
        <is>
          <t xml:space="preserve">Put formula "=MAXIFS(Data!G2:G13,Data!A2:A13,""Card"")" into cell A148.</t>
        </is>
      </c>
      <c r="C331" s="3" t="inlineStr">
        <is>
          <t xml:space="preserve">OK</t>
        </is>
      </c>
    </row>
    <row r="332">
      <c r="B332" s="1" t="inlineStr">
        <is>
          <t xml:space="preserve">Put formula "=MAXIFS(Data!D2:D13,Data!A2:A12,""Card"")" into cell A149.</t>
        </is>
      </c>
      <c r="C332" s="3" t="inlineStr">
        <is>
          <t xml:space="preserve">OK</t>
        </is>
      </c>
    </row>
    <row r="333">
      <c r="B333" s="1" t="inlineStr">
        <is>
          <t xml:space="preserve">Put formula "=MINIFS(Data!E2:E13,Data!C2:C13,""West"",Data!B2:B13,""&gt;=2"")" into cell A150.</t>
        </is>
      </c>
      <c r="C333" s="3" t="inlineStr">
        <is>
          <t xml:space="preserve">OK</t>
        </is>
      </c>
    </row>
    <row r="334">
      <c r="B334" s="1" t="inlineStr">
        <is>
          <t xml:space="preserve">Put formula "=MAXIFS(Data!H2:H13,Data!A2:A13,""&lt;&gt;Cash"")" into cell A151.</t>
        </is>
      </c>
      <c r="C334" s="3" t="inlineStr">
        <is>
          <t xml:space="preserve">OK</t>
        </is>
      </c>
    </row>
    <row r="335">
      <c r="B335" s="1" t="inlineStr">
        <is>
          <t xml:space="preserve">Put formula "=DSUM(Data!A1:H13,""Amount"",Data!K1:K2)" into cell A152.</t>
        </is>
      </c>
      <c r="C335" s="3" t="inlineStr">
        <is>
          <t xml:space="preserve">OK</t>
        </is>
      </c>
    </row>
    <row r="336">
      <c r="B336" s="1" t="inlineStr">
        <is>
          <t xml:space="preserve">Put formula "=DSUM(Data!A1:H13,4,Data!K1:K2)" into cell A153.</t>
        </is>
      </c>
      <c r="C336" s="3" t="inlineStr">
        <is>
          <t xml:space="preserve">OK</t>
        </is>
      </c>
    </row>
    <row r="337">
      <c r="B337" s="1" t="inlineStr">
        <is>
          <t xml:space="preserve">Put formula "=DSUM(Data!A1:H13,4.7,Data!K1:K2)" into cell A154.</t>
        </is>
      </c>
      <c r="C337" s="3" t="inlineStr">
        <is>
          <t xml:space="preserve">OK</t>
        </is>
      </c>
    </row>
    <row r="338">
      <c r="B338" s="1" t="inlineStr">
        <is>
          <t xml:space="preserve">Put formula "=DSUM(Data!A1:H13,""amount"",Data!K1:K2)" into cell A155.</t>
        </is>
      </c>
      <c r="C338" s="3" t="inlineStr">
        <is>
          <t xml:space="preserve">OK</t>
        </is>
      </c>
    </row>
    <row r="339">
      <c r="B339" s="1" t="inlineStr">
        <is>
          <t xml:space="preserve">Put formula "=DSUM(Data!A1:H13,""Amt"",Data!K1:K2)" into cell A156.</t>
        </is>
      </c>
      <c r="C339" s="3" t="inlineStr">
        <is>
          <t xml:space="preserve">OK</t>
        </is>
      </c>
    </row>
    <row r="340">
      <c r="B340" s="1" t="inlineStr">
        <is>
          <t xml:space="preserve">Put formula "=DSUM(Data!A1:H13,0,Data!K1:K2)" into cell A157.</t>
        </is>
      </c>
      <c r="C340" s="3" t="inlineStr">
        <is>
          <t xml:space="preserve">OK</t>
        </is>
      </c>
    </row>
    <row r="341">
      <c r="B341" s="1" t="inlineStr">
        <is>
          <t xml:space="preserve">Put formula "=DSUM(Data!A1:H13,9,Data!K1:K2)" into cell A158.</t>
        </is>
      </c>
      <c r="C341" s="3" t="inlineStr">
        <is>
          <t xml:space="preserve">OK</t>
        </is>
      </c>
    </row>
    <row r="342">
      <c r="B342" s="1" t="inlineStr">
        <is>
          <t xml:space="preserve">Put formula "=DSUM(Data!A1:H13,,Data!K1:K2)" into cell A159.</t>
        </is>
      </c>
      <c r="C342" s="3" t="inlineStr">
        <is>
          <t xml:space="preserve">OK</t>
        </is>
      </c>
    </row>
    <row r="343">
      <c r="B343" s="1" t="inlineStr">
        <is>
          <t xml:space="preserve">Put formula "=DSUM(Data!A1:H13,""4"",Data!K1:K2)" into cell A160.</t>
        </is>
      </c>
      <c r="C343" s="3" t="inlineStr">
        <is>
          <t xml:space="preserve">OK</t>
        </is>
      </c>
    </row>
    <row r="344">
      <c r="B344" s="1" t="inlineStr">
        <is>
          <t xml:space="preserve">Put formula "=DSUM(Data!A1:H13,Data!D1,Data!K1:K2)" into cell A161.</t>
        </is>
      </c>
      <c r="C344" s="3" t="inlineStr">
        <is>
          <t xml:space="preserve">OK</t>
        </is>
      </c>
    </row>
    <row r="345">
      <c r="B345" s="1" t="inlineStr">
        <is>
          <t xml:space="preserve">Put formula "=DCOUNTA(Data!A1:H13,""Note"",Data!L1:L2)" into cell A162.</t>
        </is>
      </c>
      <c r="C345" s="3" t="inlineStr">
        <is>
          <t xml:space="preserve">OK</t>
        </is>
      </c>
    </row>
    <row r="346">
      <c r="B346" s="1" t="inlineStr">
        <is>
          <t xml:space="preserve">Put formula "=DCOUNTA(Data!A1:H13,""Note"",Data!M1:M2)" into cell A163.</t>
        </is>
      </c>
      <c r="C346" s="3" t="inlineStr">
        <is>
          <t xml:space="preserve">OK</t>
        </is>
      </c>
    </row>
    <row r="347">
      <c r="B347" s="1" t="inlineStr">
        <is>
          <t xml:space="preserve">Put formula "=DCOUNTA(Data!A1:H13,""Note"",Data!Y1:Y2)" into cell A164.</t>
        </is>
      </c>
      <c r="C347" s="3" t="inlineStr">
        <is>
          <t xml:space="preserve">OK</t>
        </is>
      </c>
    </row>
    <row r="348">
      <c r="B348" s="1" t="inlineStr">
        <is>
          <t xml:space="preserve">Put formula "=DCOUNTA(Data!A1:H13,""Note"",Data!Z1:Z2)" into cell A165.</t>
        </is>
      </c>
      <c r="C348" s="3" t="inlineStr">
        <is>
          <t xml:space="preserve">OK</t>
        </is>
      </c>
    </row>
    <row r="349">
      <c r="B349" s="1" t="inlineStr">
        <is>
          <t xml:space="preserve">Put formula "=DCOUNTA(Data!A1:H13,""Note"",Data!AA1:AA2)" into cell A166.</t>
        </is>
      </c>
      <c r="C349" s="3" t="inlineStr">
        <is>
          <t xml:space="preserve">OK</t>
        </is>
      </c>
    </row>
    <row r="350">
      <c r="B350" s="1" t="inlineStr">
        <is>
          <t xml:space="preserve">Put formula "=DSUM(Data!A1:H13,""Amount"",Data!N1:N2)" into cell A167.</t>
        </is>
      </c>
      <c r="C350" s="3" t="inlineStr">
        <is>
          <t xml:space="preserve">OK</t>
        </is>
      </c>
    </row>
    <row r="351">
      <c r="B351" s="1" t="inlineStr">
        <is>
          <t xml:space="preserve">Put formula "=DSUM(Data!A1:H13,""Amount"",Data!O1:P2)" into cell A168.</t>
        </is>
      </c>
      <c r="C351" s="3" t="inlineStr">
        <is>
          <t xml:space="preserve">OK</t>
        </is>
      </c>
    </row>
    <row r="352">
      <c r="B352" s="1" t="inlineStr">
        <is>
          <t xml:space="preserve">Put formula "=DSUM(Data!A1:H13,""Amount"",Data!Q1:Q3)" into cell A169.</t>
        </is>
      </c>
      <c r="C352" s="3" t="inlineStr">
        <is>
          <t xml:space="preserve">OK</t>
        </is>
      </c>
    </row>
    <row r="353">
      <c r="B353" s="1" t="inlineStr">
        <is>
          <t xml:space="preserve">Put formula "=DSUM(Data!A1:H13,""Amount"",Data!R1:R3)" into cell A170.</t>
        </is>
      </c>
      <c r="C353" s="3" t="inlineStr">
        <is>
          <t xml:space="preserve">OK</t>
        </is>
      </c>
    </row>
    <row r="354">
      <c r="B354" s="1" t="inlineStr">
        <is>
          <t xml:space="preserve">Put formula "=DCOUNT(Data!A1:H13,""Qty"",Data!S1:S2)" into cell A171.</t>
        </is>
      </c>
      <c r="C354" s="3" t="inlineStr">
        <is>
          <t xml:space="preserve">OK</t>
        </is>
      </c>
    </row>
    <row r="355">
      <c r="B355" s="1" t="inlineStr">
        <is>
          <t xml:space="preserve">Put formula "=DSUM(Data!A1:H13,""Amount"",Data!T1:T2)" into cell A172.</t>
        </is>
      </c>
      <c r="C355" s="3" t="inlineStr">
        <is>
          <t xml:space="preserve">OK</t>
        </is>
      </c>
    </row>
    <row r="356">
      <c r="B356" s="1" t="inlineStr">
        <is>
          <t xml:space="preserve">Put formula "=DSUM(Data!A1:H13,""Amount"",Data!U1:U2)" into cell A173.</t>
        </is>
      </c>
      <c r="C356" s="3" t="inlineStr">
        <is>
          <t xml:space="preserve">OK</t>
        </is>
      </c>
    </row>
    <row r="357">
      <c r="B357" s="1" t="inlineStr">
        <is>
          <t xml:space="preserve">Put formula "=DSUM(Data!A1:H13,""Amount"",Data!AB1:AB2)" into cell A174.</t>
        </is>
      </c>
      <c r="C357" s="3" t="inlineStr">
        <is>
          <t xml:space="preserve">OK</t>
        </is>
      </c>
    </row>
    <row r="358">
      <c r="B358" s="1" t="inlineStr">
        <is>
          <t xml:space="preserve">Put formula "=DSUM(Data!A1:H13,""Amount"",Data!AC1:AC2)" into cell A175.</t>
        </is>
      </c>
      <c r="C358" s="3" t="inlineStr">
        <is>
          <t xml:space="preserve">OK</t>
        </is>
      </c>
    </row>
    <row r="359">
      <c r="B359" s="1" t="inlineStr">
        <is>
          <t xml:space="preserve">Put formula "=DSUM(Data!A1:H13,""Amount"",Data!AD1:AD2)" into cell A176.</t>
        </is>
      </c>
      <c r="C359" s="3" t="inlineStr">
        <is>
          <t xml:space="preserve">OK</t>
        </is>
      </c>
    </row>
    <row r="360">
      <c r="B360" s="1" t="inlineStr">
        <is>
          <t xml:space="preserve">Put formula "=DCOUNTA(Data!A1:H13,""Account"",Data!AE1:AE2)" into cell A177.</t>
        </is>
      </c>
      <c r="C360" s="3" t="inlineStr">
        <is>
          <t xml:space="preserve">OK</t>
        </is>
      </c>
    </row>
    <row r="361">
      <c r="B361" s="1" t="inlineStr">
        <is>
          <t xml:space="preserve">Put formula "=DCOUNT(Data!A1:H13,,Data!AE1:AE2)" into cell A178.</t>
        </is>
      </c>
      <c r="C361" s="3" t="inlineStr">
        <is>
          <t xml:space="preserve">OK</t>
        </is>
      </c>
    </row>
    <row r="362">
      <c r="B362" s="1" t="inlineStr">
        <is>
          <t xml:space="preserve">Put formula "=DSUM(Data!A1:H13,""Amount"",Data!AF1:AF2)" into cell A179.</t>
        </is>
      </c>
      <c r="C362" s="3" t="inlineStr">
        <is>
          <t xml:space="preserve">OK</t>
        </is>
      </c>
    </row>
    <row r="363">
      <c r="B363" s="1" t="inlineStr">
        <is>
          <t xml:space="preserve">Put formula "=DCOUNT(Data!A1:H13,,Data!AG1:AG2)" into cell A180.</t>
        </is>
      </c>
      <c r="C363" s="3" t="inlineStr">
        <is>
          <t xml:space="preserve">OK</t>
        </is>
      </c>
    </row>
    <row r="364">
      <c r="B364" s="1" t="inlineStr">
        <is>
          <t xml:space="preserve">Put formula "=DSUM(Data!A1:H13,""Amount"",Data!AH1:AH2)" into cell A181.</t>
        </is>
      </c>
      <c r="C364" s="3" t="inlineStr">
        <is>
          <t xml:space="preserve">OK</t>
        </is>
      </c>
    </row>
    <row r="365">
      <c r="B365" s="1" t="inlineStr">
        <is>
          <t xml:space="preserve">Put formula "=DSUM(Data!A1:H13,""Amount"",Data!AI1:AJ3)" into cell A182.</t>
        </is>
      </c>
      <c r="C365" s="3" t="inlineStr">
        <is>
          <t xml:space="preserve">OK</t>
        </is>
      </c>
    </row>
    <row r="366">
      <c r="B366" s="1" t="inlineStr">
        <is>
          <t xml:space="preserve">Put formula "=DCOUNT(Data!A1:H13,""Mixed"",Data!AK1:AK2)" into cell A183.</t>
        </is>
      </c>
      <c r="C366" s="3" t="inlineStr">
        <is>
          <t xml:space="preserve">OK</t>
        </is>
      </c>
    </row>
    <row r="367">
      <c r="B367" s="1" t="inlineStr">
        <is>
          <t xml:space="preserve">Put formula "=DGET(Data!A1:H13,""Amount"",Data!O1:P2)" into cell A184.</t>
        </is>
      </c>
      <c r="C367" s="3" t="inlineStr">
        <is>
          <t xml:space="preserve">OK</t>
        </is>
      </c>
    </row>
    <row r="368">
      <c r="B368" s="1" t="inlineStr">
        <is>
          <t xml:space="preserve">Put formula "=DGET(Data!A1:H13,""Amount"",Data!M1:M2)" into cell A185.</t>
        </is>
      </c>
      <c r="C368" s="3" t="inlineStr">
        <is>
          <t xml:space="preserve">OK</t>
        </is>
      </c>
    </row>
    <row r="369">
      <c r="B369" s="1" t="inlineStr">
        <is>
          <t xml:space="preserve">Put formula "=DGET(Data!A1:H13,""Amount"",Data!W1:W2)" into cell A186.</t>
        </is>
      </c>
      <c r="C369" s="3" t="inlineStr">
        <is>
          <t xml:space="preserve">OK</t>
        </is>
      </c>
    </row>
    <row r="370">
      <c r="B370" s="1" t="inlineStr">
        <is>
          <t xml:space="preserve">Put formula "=DGET(Data!A1:H13,""Note"",Data!M1:M2)" into cell A187.</t>
        </is>
      </c>
      <c r="C370" s="3" t="inlineStr">
        <is>
          <t xml:space="preserve">OK</t>
        </is>
      </c>
    </row>
    <row r="371">
      <c r="B371" s="1" t="inlineStr">
        <is>
          <t xml:space="preserve">Put formula "=DGET(Data!A1:H13,""Mixed"",Data!M1:M2)" into cell A188.</t>
        </is>
      </c>
      <c r="C371" s="3" t="inlineStr">
        <is>
          <t xml:space="preserve">OK</t>
        </is>
      </c>
    </row>
    <row r="372">
      <c r="B372" s="1" t="inlineStr">
        <is>
          <t xml:space="preserve">Put formula "=DCOUNT(Data!A1:H13,,Data!K1:K2)" into cell A189.</t>
        </is>
      </c>
      <c r="C372" s="3" t="inlineStr">
        <is>
          <t xml:space="preserve">OK</t>
        </is>
      </c>
    </row>
    <row r="373">
      <c r="B373" s="1" t="inlineStr">
        <is>
          <t xml:space="preserve">Put formula "=DCOUNTA(Data!A1:H13,,Data!K1:K2)" into cell A190.</t>
        </is>
      </c>
      <c r="C373" s="3" t="inlineStr">
        <is>
          <t xml:space="preserve">OK</t>
        </is>
      </c>
    </row>
    <row r="374">
      <c r="B374" s="1" t="inlineStr">
        <is>
          <t xml:space="preserve">Put formula "=DCOUNT(Data!A1:H13,""Mixed"",Data!K1:K2)" into cell A191.</t>
        </is>
      </c>
      <c r="C374" s="3" t="inlineStr">
        <is>
          <t xml:space="preserve">OK</t>
        </is>
      </c>
    </row>
    <row r="375">
      <c r="B375" s="1" t="inlineStr">
        <is>
          <t xml:space="preserve">Put formula "=DCOUNTA(Data!A1:H13,""Mixed"",Data!K1:K2)" into cell A192.</t>
        </is>
      </c>
      <c r="C375" s="3" t="inlineStr">
        <is>
          <t xml:space="preserve">OK</t>
        </is>
      </c>
    </row>
    <row r="376">
      <c r="B376" s="1" t="inlineStr">
        <is>
          <t xml:space="preserve">Put formula "=DAVERAGE(Data!A1:H13,""Amount"",Data!K1:K2)" into cell A193.</t>
        </is>
      </c>
      <c r="C376" s="3" t="inlineStr">
        <is>
          <t xml:space="preserve">OK</t>
        </is>
      </c>
    </row>
    <row r="377">
      <c r="B377" s="1" t="inlineStr">
        <is>
          <t xml:space="preserve">Put formula "=DAVERAGE(Data!A1:H13,""Amount"",Data!W1:W2)" into cell A194.</t>
        </is>
      </c>
      <c r="C377" s="3" t="inlineStr">
        <is>
          <t xml:space="preserve">OK</t>
        </is>
      </c>
    </row>
    <row r="378">
      <c r="B378" s="1" t="inlineStr">
        <is>
          <t xml:space="preserve">Put formula "=DMAX(Data!A1:H13,""Amount"",Data!K1:K2)" into cell A195.</t>
        </is>
      </c>
      <c r="C378" s="3" t="inlineStr">
        <is>
          <t xml:space="preserve">OK</t>
        </is>
      </c>
    </row>
    <row r="379">
      <c r="B379" s="1" t="inlineStr">
        <is>
          <t xml:space="preserve">Put formula "=DMIN(Data!A1:H13,""Amount"",Data!K1:K2)" into cell A196.</t>
        </is>
      </c>
      <c r="C379" s="3" t="inlineStr">
        <is>
          <t xml:space="preserve">OK</t>
        </is>
      </c>
    </row>
    <row r="380">
      <c r="B380" s="1" t="inlineStr">
        <is>
          <t xml:space="preserve">Put formula "=DMAX(Data!A1:H13,""Amount"",Data!W1:W2)" into cell A197.</t>
        </is>
      </c>
      <c r="C380" s="3" t="inlineStr">
        <is>
          <t xml:space="preserve">OK</t>
        </is>
      </c>
    </row>
    <row r="381">
      <c r="B381" s="1" t="inlineStr">
        <is>
          <t xml:space="preserve">Put formula "=DMIN(Data!A1:H13,""Amount"",Data!W1:W2)" into cell A198.</t>
        </is>
      </c>
      <c r="C381" s="3" t="inlineStr">
        <is>
          <t xml:space="preserve">OK</t>
        </is>
      </c>
    </row>
    <row r="382">
      <c r="B382" s="1" t="inlineStr">
        <is>
          <t xml:space="preserve">Put formula "=DPRODUCT(Data!A1:H13,""Qty"",Data!K1:K2)" into cell A199.</t>
        </is>
      </c>
      <c r="C382" s="3" t="inlineStr">
        <is>
          <t xml:space="preserve">OK</t>
        </is>
      </c>
    </row>
    <row r="383">
      <c r="B383" s="1" t="inlineStr">
        <is>
          <t xml:space="preserve">Put formula "=DPRODUCT(Data!A1:H13,""Qty"",Data!W1:W2)" into cell A200.</t>
        </is>
      </c>
      <c r="C383" s="3" t="inlineStr">
        <is>
          <t xml:space="preserve">OK</t>
        </is>
      </c>
    </row>
    <row r="384">
      <c r="B384" s="1" t="inlineStr">
        <is>
          <t xml:space="preserve">Put formula "=DSTDEV(Data!A1:H13,""Qty"",Data!K1:K2)" into cell A201.</t>
        </is>
      </c>
      <c r="C384" s="3" t="inlineStr">
        <is>
          <t xml:space="preserve">OK</t>
        </is>
      </c>
    </row>
    <row r="385">
      <c r="B385" s="1" t="inlineStr">
        <is>
          <t xml:space="preserve">Put formula "=DSTDEVP(Data!A1:H13,""Qty"",Data!K1:K2)" into cell A202.</t>
        </is>
      </c>
      <c r="C385" s="3" t="inlineStr">
        <is>
          <t xml:space="preserve">OK</t>
        </is>
      </c>
    </row>
    <row r="386">
      <c r="B386" s="1" t="inlineStr">
        <is>
          <t xml:space="preserve">Put formula "=DVAR(Data!A1:H13,""Qty"",Data!K1:K2)" into cell A203.</t>
        </is>
      </c>
      <c r="C386" s="3" t="inlineStr">
        <is>
          <t xml:space="preserve">OK</t>
        </is>
      </c>
    </row>
    <row r="387">
      <c r="B387" s="1" t="inlineStr">
        <is>
          <t xml:space="preserve">Put formula "=DVARP(Data!A1:H13,""Qty"",Data!K1:K2)" into cell A204.</t>
        </is>
      </c>
      <c r="C387" s="3" t="inlineStr">
        <is>
          <t xml:space="preserve">OK</t>
        </is>
      </c>
    </row>
    <row r="388">
      <c r="B388" s="1" t="inlineStr">
        <is>
          <t xml:space="preserve">Put formula "=DSTDEV(Data!A1:H13,""Qty"",Data!M1:M2)" into cell A205.</t>
        </is>
      </c>
      <c r="C388" s="3" t="inlineStr">
        <is>
          <t xml:space="preserve">OK</t>
        </is>
      </c>
    </row>
    <row r="389">
      <c r="B389" s="1" t="inlineStr">
        <is>
          <t xml:space="preserve">Put formula "=DSUM(Data!A1:H13,""Mixed"",Data!K1:K2)" into cell A206.</t>
        </is>
      </c>
      <c r="C389" s="3" t="inlineStr">
        <is>
          <t xml:space="preserve">OK</t>
        </is>
      </c>
    </row>
    <row r="390">
      <c r="B390" s="1" t="inlineStr">
        <is>
          <t xml:space="preserve">Put formula "=DSUM(Data!A1:H13,""Mixed"",Data!Q1:Q3)" into cell A207.</t>
        </is>
      </c>
      <c r="C390" s="3" t="inlineStr">
        <is>
          <t xml:space="preserve">OK</t>
        </is>
      </c>
    </row>
    <row r="391">
      <c r="B391" s="1" t="inlineStr">
        <is>
          <t xml:space="preserve">Put formula "=DSUM(Data!A1:H13,""Amount"",Data!K1)" into cell A208.</t>
        </is>
      </c>
      <c r="C391" s="3" t="inlineStr">
        <is>
          <t xml:space="preserve">OK</t>
        </is>
      </c>
    </row>
    <row r="392">
      <c r="B392" s="1" t="inlineStr">
        <is>
          <t xml:space="preserve">Put formula "=DSUM(Data!A1:H13,""Amount"",Data!K2:K3)" into cell A209.</t>
        </is>
      </c>
      <c r="C392" s="3" t="inlineStr">
        <is>
          <t xml:space="preserve">OK</t>
        </is>
      </c>
    </row>
    <row r="393">
      <c r="B393" s="1" t="inlineStr">
        <is>
          <t xml:space="preserve">Put formula "=DSUM(Data!A:H,""Amount"",Data!K1:K2)" into cell A210.</t>
        </is>
      </c>
      <c r="C393" s="3" t="inlineStr">
        <is>
          <t xml:space="preserve">OK</t>
        </is>
      </c>
    </row>
    <row r="394">
      <c r="B394" s="1" t="inlineStr">
        <is>
          <t xml:space="preserve">Put formula "=DCOUNTA(Data!A:H,,Data!AF1:AF2)" into cell A211.</t>
        </is>
      </c>
      <c r="C394" s="3" t="inlineStr">
        <is>
          <t xml:space="preserve">OK</t>
        </is>
      </c>
    </row>
    <row r="395">
      <c r="B395" s="1" t="inlineStr">
        <is>
          <t xml:space="preserve">Put formula "=DSUM(Data!A1:H13,""Amount"",Data!K1:L2)" into cell A212.</t>
        </is>
      </c>
      <c r="C395" s="3" t="inlineStr">
        <is>
          <t xml:space="preserve">OK</t>
        </is>
      </c>
    </row>
    <row r="396">
      <c r="B396" s="1" t="inlineStr">
        <is>
          <t xml:space="preserve">Put formula "=DGET(Data!A1:H13,""Note"",Data!AL1:AL2)" into cell A213.</t>
        </is>
      </c>
      <c r="C396" s="3" t="inlineStr">
        <is>
          <t xml:space="preserve">OK</t>
        </is>
      </c>
    </row>
    <row r="397">
      <c r="B397" s="1" t="inlineStr">
        <is>
          <t xml:space="preserve">Put formula "=COUNTIF(Data!F2:F13,""~tilde"")" into cell A214.</t>
        </is>
      </c>
      <c r="C397" s="3" t="inlineStr">
        <is>
          <t xml:space="preserve">OK</t>
        </is>
      </c>
    </row>
    <row r="398">
      <c r="B398" s="1" t="inlineStr">
        <is>
          <t xml:space="preserve">Put formula "=COUNTIF(Data!F2:F13,""~t*"")" into cell A215.</t>
        </is>
      </c>
      <c r="C398" s="3" t="inlineStr">
        <is>
          <t xml:space="preserve">OK</t>
        </is>
      </c>
    </row>
    <row r="399">
      <c r="B399" s="1" t="inlineStr">
        <is>
          <t xml:space="preserve">Put formula "=MATCH(""~~tilde"",Data!F2:F13,0)" into cell A216.</t>
        </is>
      </c>
      <c r="C399" s="3" t="inlineStr">
        <is>
          <t xml:space="preserve">OK</t>
        </is>
      </c>
    </row>
    <row r="400">
      <c r="B400" s="1" t="inlineStr">
        <is>
          <t xml:space="preserve">Put formula "=MATCH(""~tilde"",Data!F2:F13,0)" into cell A217.</t>
        </is>
      </c>
      <c r="C400" s="3" t="inlineStr">
        <is>
          <t xml:space="preserve">OK</t>
        </is>
      </c>
    </row>
    <row r="401">
      <c r="B401" s="1" t="inlineStr">
        <is>
          <t xml:space="preserve">Put formula "=DCOUNTA(Far!A:A,,Far!E1:E2)" into cell A218.</t>
        </is>
      </c>
      <c r="C401" s="3" t="inlineStr">
        <is>
          <t xml:space="preserve">OK</t>
        </is>
      </c>
    </row>
    <row r="402">
      <c r="B402" s="1" t="inlineStr">
        <is>
          <t xml:space="preserve">Put formula "=DSUM(Data!A1:H13,""Amount"",Data!K13:K15)" into cell A219.</t>
        </is>
      </c>
      <c r="C402" s="3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A1:AL13"/>
  <sheetViews>
    <sheetView workbookViewId="0">
      <selection activeCell="A1" sqref="A1"/>
    </sheetView>
  </sheetViews>
  <sheetFormatPr defaultRowHeight="15"/>
  <sheetData>
    <row r="1">
      <c r="A1" s="0" t="inlineStr">
        <is>
          <t xml:space="preserve">Account</t>
        </is>
      </c>
      <c r="B1" s="0" t="inlineStr">
        <is>
          <t xml:space="preserve">Month</t>
        </is>
      </c>
      <c r="C1" s="0" t="inlineStr">
        <is>
          <t xml:space="preserve">Region</t>
        </is>
      </c>
      <c r="D1" s="0" t="inlineStr">
        <is>
          <t xml:space="preserve">Amount</t>
        </is>
      </c>
      <c r="E1" s="0" t="inlineStr">
        <is>
          <t xml:space="preserve">Qty</t>
        </is>
      </c>
      <c r="F1" s="0" t="inlineStr">
        <is>
          <t xml:space="preserve">Note</t>
        </is>
      </c>
      <c r="G1" s="0" t="inlineStr">
        <is>
          <t xml:space="preserve">Mixed</t>
        </is>
      </c>
      <c r="H1" s="0" t="inlineStr">
        <is>
          <t xml:space="preserve">Day</t>
        </is>
      </c>
      <c r="K1" s="0" t="inlineStr">
        <is>
          <t xml:space="preserve">Region</t>
        </is>
      </c>
      <c r="L1" s="0" t="inlineStr">
        <is>
          <t xml:space="preserve">Note</t>
        </is>
      </c>
      <c r="M1" s="0" t="inlineStr">
        <is>
          <t xml:space="preserve">Note</t>
        </is>
      </c>
      <c r="N1" s="0" t="inlineStr">
        <is>
          <t xml:space="preserve">Month</t>
        </is>
      </c>
      <c r="O1" s="0" t="inlineStr">
        <is>
          <t xml:space="preserve">Account</t>
        </is>
      </c>
      <c r="P1" s="0" t="inlineStr">
        <is>
          <t xml:space="preserve">Month</t>
        </is>
      </c>
      <c r="Q1" s="0" t="inlineStr">
        <is>
          <t xml:space="preserve">Account</t>
        </is>
      </c>
      <c r="R1" s="0" t="inlineStr">
        <is>
          <t xml:space="preserve">Account</t>
        </is>
      </c>
      <c r="S1" s="0" t="inlineStr">
        <is>
          <t xml:space="preserve">region</t>
        </is>
      </c>
      <c r="T1" s="0" t="inlineStr">
        <is>
          <t xml:space="preserve">Nope</t>
        </is>
      </c>
      <c r="U1" s="0" t="inlineStr">
        <is>
          <t xml:space="preserve">Big</t>
        </is>
      </c>
      <c r="W1" s="0" t="inlineStr">
        <is>
          <t xml:space="preserve">Account</t>
        </is>
      </c>
      <c r="X1" s="0">
        <v>1</v>
      </c>
      <c r="Y1" s="0" t="inlineStr">
        <is>
          <t xml:space="preserve">Note</t>
        </is>
      </c>
      <c r="Z1" s="0" t="inlineStr">
        <is>
          <t xml:space="preserve">Note</t>
        </is>
      </c>
      <c r="AA1" s="0" t="inlineStr">
        <is>
          <t xml:space="preserve">Note</t>
        </is>
      </c>
      <c r="AB1" s="0" t="inlineStr">
        <is>
          <t xml:space="preserve">Amount</t>
        </is>
      </c>
      <c r="AC1" s="0" t="inlineStr">
        <is>
          <t xml:space="preserve">Amount</t>
        </is>
      </c>
      <c r="AD1" s="0" t="inlineStr">
        <is>
          <t xml:space="preserve">Amount</t>
        </is>
      </c>
      <c r="AE1" s="0" t="inlineStr">
        <is>
          <t xml:space="preserve">Account</t>
        </is>
      </c>
      <c r="AF1" s="0" t="inlineStr">
        <is>
          <t xml:space="preserve">Account</t>
        </is>
      </c>
      <c r="AG1" s="0" t="inlineStr">
        <is>
          <t xml:space="preserve">Account</t>
        </is>
      </c>
      <c r="AH1" s="0" t="inlineStr">
        <is>
          <t xml:space="preserve">Mixed</t>
        </is>
      </c>
      <c r="AI1" s="0" t="inlineStr">
        <is>
          <t xml:space="preserve">Account</t>
        </is>
      </c>
      <c r="AJ1" s="0" t="inlineStr">
        <is>
          <t xml:space="preserve">Month</t>
        </is>
      </c>
      <c r="AK1" s="0" t="inlineStr">
        <is>
          <t xml:space="preserve">Mixed</t>
        </is>
      </c>
      <c r="AL1" s="0" t="inlineStr">
        <is>
          <t xml:space="preserve">Amount</t>
        </is>
      </c>
    </row>
    <row r="2">
      <c r="A2" s="0" t="inlineStr">
        <is>
          <t xml:space="preserve">Cash</t>
        </is>
      </c>
      <c r="B2" s="0">
        <v>1</v>
      </c>
      <c r="C2" s="0" t="inlineStr">
        <is>
          <t xml:space="preserve">East</t>
        </is>
      </c>
      <c r="D2" s="0">
        <v>100</v>
      </c>
      <c r="E2" s="0">
        <v>5</v>
      </c>
      <c r="F2" s="0" t="inlineStr">
        <is>
          <t xml:space="preserve">plain</t>
        </is>
      </c>
      <c r="G2" s="0">
        <v>1</v>
      </c>
      <c r="H2" s="0">
        <v>46023</v>
      </c>
      <c r="K2" s="0" t="inlineStr">
        <is>
          <t xml:space="preserve">East</t>
        </is>
      </c>
      <c r="L2" s="0" t="inlineStr">
        <is>
          <t xml:space="preserve">Dav</t>
        </is>
      </c>
      <c r="M2" s="0" t="inlineStr">
        <is>
          <t xml:space="preserve">=Dav</t>
        </is>
      </c>
      <c r="N2" s="0">
        <v>3</v>
      </c>
      <c r="O2" s="0" t="inlineStr">
        <is>
          <t xml:space="preserve">Cash</t>
        </is>
      </c>
      <c r="P2" s="0">
        <v>3</v>
      </c>
      <c r="Q2" s="0" t="inlineStr">
        <is>
          <t xml:space="preserve">Card</t>
        </is>
      </c>
      <c r="R2" s="0" t="inlineStr">
        <is>
          <t xml:space="preserve">Cash</t>
        </is>
      </c>
      <c r="S2" s="0" t="inlineStr">
        <is>
          <t xml:space="preserve">west</t>
        </is>
      </c>
      <c r="T2" s="0" t="inlineStr">
        <is>
          <t xml:space="preserve">x</t>
        </is>
      </c>
      <c r="U2" s="0" t="b">
        <f>Data!D2&gt;100</f>
        <v>0</v>
      </c>
      <c r="W2" s="0" t="inlineStr">
        <is>
          <t xml:space="preserve">Nope</t>
        </is>
      </c>
      <c r="X2" s="0">
        <v>2</v>
      </c>
      <c r="Y2" s="0" t="inlineStr">
        <is>
          <t xml:space="preserve">Dav*</t>
        </is>
      </c>
      <c r="Z2" s="0" t="inlineStr">
        <is>
          <t xml:space="preserve">*vi*</t>
        </is>
      </c>
      <c r="AA2" s="0" t="inlineStr">
        <is>
          <t xml:space="preserve">D?v</t>
        </is>
      </c>
      <c r="AB2" s="0" t="inlineStr">
        <is>
          <t xml:space="preserve">10</t>
        </is>
      </c>
      <c r="AC2" s="0">
        <v>10</v>
      </c>
      <c r="AD2" s="0" t="inlineStr">
        <is>
          <t xml:space="preserve">&gt;100</t>
        </is>
      </c>
      <c r="AE2" s="0" t="inlineStr">
        <is>
          <t xml:space="preserve">&lt;&gt;Cash</t>
        </is>
      </c>
      <c r="AF2" s="0" t="inlineStr">
        <is>
          <t xml:space="preserve">=</t>
        </is>
      </c>
      <c r="AG2" s="0" t="inlineStr">
        <is>
          <t xml:space="preserve">&lt;&gt;</t>
        </is>
      </c>
      <c r="AH2" s="0" t="b">
        <f>TRUE</f>
        <v>1</v>
      </c>
      <c r="AI2" s="0" t="inlineStr">
        <is>
          <t xml:space="preserve">Cash</t>
        </is>
      </c>
      <c r="AJ2" s="0">
        <v>3</v>
      </c>
      <c r="AK2" s="0" t="inlineStr">
        <is>
          <t xml:space="preserve">&gt;1</t>
        </is>
      </c>
      <c r="AL2" s="0">
        <v>300</v>
      </c>
    </row>
    <row r="3">
      <c r="A3" s="0" t="inlineStr">
        <is>
          <t xml:space="preserve">Bank</t>
        </is>
      </c>
      <c r="B3" s="0">
        <v>1</v>
      </c>
      <c r="C3" s="0" t="inlineStr">
        <is>
          <t xml:space="preserve">West</t>
        </is>
      </c>
      <c r="D3" s="0">
        <v>250.5</v>
      </c>
      <c r="E3" s="0">
        <v>3</v>
      </c>
      <c r="F3" s="0" t="inlineStr">
        <is>
          <t xml:space="preserve">a*b</t>
        </is>
      </c>
      <c r="G3" s="0" t="b">
        <f>TRUE</f>
        <v>1</v>
      </c>
      <c r="H3" s="0">
        <v>46024</v>
      </c>
      <c r="Q3" s="0" t="inlineStr">
        <is>
          <t xml:space="preserve">Bank</t>
        </is>
      </c>
      <c r="X3" s="0">
        <f>SUBTOTAL(9,X1:X2)</f>
        <v>3</v>
      </c>
      <c r="AI3" s="0" t="inlineStr">
        <is>
          <t xml:space="preserve">Card</t>
        </is>
      </c>
    </row>
    <row r="4">
      <c r="A4" s="0" t="inlineStr">
        <is>
          <t xml:space="preserve">Cash</t>
        </is>
      </c>
      <c r="B4" s="0">
        <v>2</v>
      </c>
      <c r="C4" s="0" t="inlineStr">
        <is>
          <t xml:space="preserve">east</t>
        </is>
      </c>
      <c r="D4" s="0">
        <v>75</v>
      </c>
      <c r="E4" s="0">
        <v>2</v>
      </c>
      <c r="F4" s="0" t="inlineStr">
        <is>
          <t xml:space="preserve">a?b</t>
        </is>
      </c>
      <c r="G4" s="0" t="inlineStr">
        <is>
          <t xml:space="preserve">5</t>
        </is>
      </c>
      <c r="H4" s="0">
        <v>46054</v>
      </c>
      <c r="X4" s="0">
        <f>SUBTOTAL(9,X1:X2)*2</f>
        <v>6</v>
      </c>
    </row>
    <row r="5">
      <c r="A5" s="0" t="inlineStr">
        <is>
          <t xml:space="preserve">Card</t>
        </is>
      </c>
      <c r="B5" s="0">
        <v>2</v>
      </c>
      <c r="C5" s="0" t="inlineStr">
        <is>
          <t xml:space="preserve">North</t>
        </is>
      </c>
      <c r="D5" s="0">
        <v>40</v>
      </c>
      <c r="E5" s="0">
        <v>1</v>
      </c>
      <c r="F5" s="0" t="inlineStr">
        <is>
          <t xml:space="preserve">~tilde</t>
        </is>
      </c>
      <c r="G5" s="0" t="e">
        <f>1/0</f>
        <v>#DIV/0!</v>
      </c>
      <c r="H5" s="0">
        <v>46055</v>
      </c>
      <c r="X5" s="0">
        <f>SUM(X1:X2)</f>
        <v>3</v>
      </c>
    </row>
    <row r="6">
      <c r="A6" s="0" t="inlineStr">
        <is>
          <t xml:space="preserve">Bank</t>
        </is>
      </c>
      <c r="B6" s="0">
        <v>3</v>
      </c>
      <c r="C6" s="0" t="inlineStr">
        <is>
          <t xml:space="preserve">West</t>
        </is>
      </c>
      <c r="D6" s="0">
        <v>300</v>
      </c>
      <c r="E6" s="0">
        <v>4</v>
      </c>
      <c r="H6" s="0">
        <v>46082</v>
      </c>
    </row>
    <row r="7">
      <c r="A7" s="0" t="inlineStr">
        <is>
          <t xml:space="preserve">Cash</t>
        </is>
      </c>
      <c r="B7" s="0">
        <v>3</v>
      </c>
      <c r="C7" s="0" t="inlineStr">
        <is>
          <t xml:space="preserve">East</t>
        </is>
      </c>
      <c r="D7" s="0">
        <v>125</v>
      </c>
      <c r="E7" s="0">
        <v>6</v>
      </c>
      <c r="F7" s="0" t="str">
        <f>""</f>
        <v/>
      </c>
      <c r="G7" s="0">
        <v>2</v>
      </c>
      <c r="H7" s="0">
        <v>46083</v>
      </c>
    </row>
    <row r="8">
      <c r="A8" s="0" t="inlineStr">
        <is>
          <t xml:space="preserve">Card</t>
        </is>
      </c>
      <c r="B8" s="0">
        <v>1</v>
      </c>
      <c r="C8" s="0" t="inlineStr">
        <is>
          <t xml:space="preserve">South</t>
        </is>
      </c>
      <c r="D8" s="0">
        <v>-20</v>
      </c>
      <c r="E8" s="0">
        <v>7</v>
      </c>
      <c r="F8" s="0" t="inlineStr">
        <is>
          <t xml:space="preserve">Dav</t>
        </is>
      </c>
      <c r="G8" s="0" t="e">
        <f>"a"+1</f>
        <v>#VALUE!</v>
      </c>
      <c r="H8" s="0">
        <v>46025</v>
      </c>
    </row>
    <row r="9">
      <c r="A9" s="0" t="inlineStr">
        <is>
          <t xml:space="preserve">Cash</t>
        </is>
      </c>
      <c r="B9" s="0">
        <v>12</v>
      </c>
      <c r="C9" s="0" t="inlineStr">
        <is>
          <t xml:space="preserve">East</t>
        </is>
      </c>
      <c r="D9" s="0">
        <v>10</v>
      </c>
      <c r="E9" s="0">
        <v>0</v>
      </c>
      <c r="F9" s="0" t="inlineStr">
        <is>
          <t xml:space="preserve">Davolio</t>
        </is>
      </c>
      <c r="G9" s="0">
        <v>3</v>
      </c>
      <c r="H9" s="0">
        <v>46357</v>
      </c>
    </row>
    <row r="10">
      <c r="B10" s="0">
        <v>2</v>
      </c>
      <c r="C10" s="0" t="inlineStr">
        <is>
          <t xml:space="preserve">West</t>
        </is>
      </c>
      <c r="D10" s="0">
        <v>60</v>
      </c>
      <c r="E10" s="0">
        <v>2</v>
      </c>
      <c r="F10" s="0" t="inlineStr">
        <is>
          <t xml:space="preserve">David</t>
        </is>
      </c>
      <c r="G10" s="0">
        <v>4</v>
      </c>
      <c r="H10" s="0">
        <v>46056</v>
      </c>
    </row>
    <row r="11">
      <c r="A11" s="0" t="inlineStr">
        <is>
          <t xml:space="preserve">bank</t>
        </is>
      </c>
      <c r="B11" s="0">
        <v>2</v>
      </c>
      <c r="C11" s="0" t="inlineStr">
        <is>
          <t xml:space="preserve">WEST</t>
        </is>
      </c>
      <c r="D11" s="0">
        <v>0.1</v>
      </c>
      <c r="E11" s="0">
        <v>1</v>
      </c>
      <c r="F11" s="0" t="inlineStr">
        <is>
          <t xml:space="preserve">davis</t>
        </is>
      </c>
      <c r="G11" s="0">
        <v>5</v>
      </c>
      <c r="H11" s="0">
        <v>46057</v>
      </c>
    </row>
    <row r="12">
      <c r="A12" s="0" t="inlineStr">
        <is>
          <t xml:space="preserve">Cash</t>
        </is>
      </c>
      <c r="B12" s="0">
        <v>3</v>
      </c>
      <c r="C12" s="0" t="inlineStr">
        <is>
          <t xml:space="preserve">East</t>
        </is>
      </c>
      <c r="D12" s="0">
        <v>0.2</v>
      </c>
      <c r="E12" s="0">
        <v>9</v>
      </c>
      <c r="F12" s="0" t="inlineStr">
        <is>
          <t xml:space="preserve">100</t>
        </is>
      </c>
      <c r="G12" s="0">
        <v>6</v>
      </c>
      <c r="H12" s="0">
        <v>46084</v>
      </c>
    </row>
    <row r="13">
      <c r="A13" s="0" t="inlineStr">
        <is>
          <t xml:space="preserve">Card</t>
        </is>
      </c>
      <c r="B13" s="0" t="inlineStr">
        <is>
          <t xml:space="preserve">3</t>
        </is>
      </c>
      <c r="C13" s="0" t="inlineStr">
        <is>
          <t xml:space="preserve">North</t>
        </is>
      </c>
      <c r="D13" s="0">
        <v>55</v>
      </c>
      <c r="E13" s="0">
        <v>3</v>
      </c>
      <c r="F13" s="0" t="inlineStr">
        <is>
          <t xml:space="preserve">1e2</t>
        </is>
      </c>
      <c r="G13" s="0">
        <v>7</v>
      </c>
      <c r="H13" s="0">
        <v>46085</v>
      </c>
    </row>
  </sheetData>
</worksheet>
</file>

<file path=xl/worksheets/frazaro_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A1" sqref="A1"/>
    </sheetView>
  </sheetViews>
  <sheetFormatPr defaultRowHeight="15"/>
  <sheetData>
    <row r="1">
      <c r="A1" s="0" t="inlineStr">
        <is>
          <t xml:space="preserve">Key</t>
        </is>
      </c>
      <c r="E1" s="0" t="inlineStr">
        <is>
          <t xml:space="preserve">Key</t>
        </is>
      </c>
    </row>
    <row r="2">
      <c r="A2" s="0" t="inlineStr">
        <is>
          <t xml:space="preserve">x</t>
        </is>
      </c>
      <c r="E2" s="0" t="inlineStr">
        <is>
          <t xml:space="preserve">=</t>
        </is>
      </c>
    </row>
    <row r="3">
      <c r="A3" s="0" t="inlineStr">
        <is>
          <t xml:space="preserve">y</t>
        </is>
      </c>
    </row>
    <row r="9">
      <c r="C9" s="0">
        <v>1</v>
      </c>
    </row>
  </sheetData>
</worksheet>
</file>

<file path=xl/worksheets/frazaro_4.xml><?xml version="1.0" encoding="utf-8"?>
<worksheet xmlns="http://schemas.openxmlformats.org/spreadsheetml/2006/main" xmlns:r="http://schemas.openxmlformats.org/officeDocument/2006/relationships">
  <dimension ref="A1:A219"/>
  <sheetViews>
    <sheetView workbookViewId="0">
      <selection activeCell="A1" sqref="A1"/>
    </sheetView>
  </sheetViews>
  <sheetFormatPr defaultRowHeight="15"/>
  <sheetData>
    <row r="1">
      <c r="A1" s="0">
        <f>COUNT(Data!D2:D13)</f>
        <v>12</v>
      </c>
    </row>
    <row r="2">
      <c r="A2" s="0">
        <f>COUNT(Data!G2:G13)</f>
        <v>7</v>
      </c>
    </row>
    <row r="3">
      <c r="A3" s="0">
        <f>COUNT(1,TRUE,"2","x",1/0)</f>
        <v>3</v>
      </c>
    </row>
    <row r="4">
      <c r="A4" s="0">
        <f>COUNT(1,,2)</f>
        <v>3</v>
      </c>
    </row>
    <row r="5">
      <c r="A5" s="0">
        <f>COUNT(1/0)</f>
        <v>0</v>
      </c>
    </row>
    <row r="6">
      <c r="A6" s="0">
        <f>COUNT(Data!J1)</f>
        <v>0</v>
      </c>
    </row>
    <row r="7">
      <c r="A7" s="0">
        <f>COUNTA(Data!F2:F13)</f>
        <v>11</v>
      </c>
    </row>
    <row r="8">
      <c r="A8" s="0">
        <f>COUNTA(1,"",TRUE,1/0)</f>
        <v>4</v>
      </c>
    </row>
    <row r="9">
      <c r="A9" s="0">
        <f>COUNTA(Data!J1)</f>
        <v>0</v>
      </c>
    </row>
    <row r="10">
      <c r="A10" s="0">
        <f>COUNTA(Data!F7)</f>
        <v>1</v>
      </c>
    </row>
    <row r="11">
      <c r="A11" s="0">
        <f>COUNTA(1,,2)</f>
        <v>3</v>
      </c>
    </row>
    <row r="12">
      <c r="A12" s="0">
        <f>PRODUCT(Data!E2:E5)</f>
        <v>30</v>
      </c>
    </row>
    <row r="13">
      <c r="A13" s="0" t="e">
        <f>PRODUCT(Data!G2:G13)</f>
        <v>#DIV/0!</v>
      </c>
    </row>
    <row r="14">
      <c r="A14" s="0">
        <f>PRODUCT(2,"3",TRUE)</f>
        <v>6</v>
      </c>
    </row>
    <row r="15">
      <c r="A15" s="0" t="e">
        <f>PRODUCT("x")</f>
        <v>#VALUE!</v>
      </c>
    </row>
    <row r="16">
      <c r="A16" s="0">
        <f>PRODUCT(Data!J1:J2)</f>
        <v>0</v>
      </c>
    </row>
    <row r="17">
      <c r="A17" s="0">
        <f>PRODUCT(Data!D2:D13)</f>
        <v>-37199250000000000</v>
      </c>
    </row>
    <row r="18">
      <c r="A18" s="0">
        <f>AVERAGE(Data!E2:E13)</f>
        <v>3.5833333333333335</v>
      </c>
    </row>
    <row r="19">
      <c r="A19" s="0">
        <f>AVERAGE(1,"2",TRUE)</f>
        <v>1.3333333333333333</v>
      </c>
    </row>
    <row r="20">
      <c r="A20" s="0" t="e">
        <f>AVERAGE(Data!J1:J2)</f>
        <v>#DIV/0!</v>
      </c>
    </row>
    <row r="21">
      <c r="A21" s="0">
        <f>AVERAGE(1,,2)</f>
        <v>1</v>
      </c>
    </row>
    <row r="22">
      <c r="A22" s="0" t="e">
        <f>AVERAGE("x")</f>
        <v>#VALUE!</v>
      </c>
    </row>
    <row r="23">
      <c r="A23" s="0">
        <f>AVERAGE(TRUE)</f>
        <v>1</v>
      </c>
    </row>
    <row r="24">
      <c r="A24" s="0">
        <f>AVERAGE(Data!D2:D13)</f>
        <v>82.98333333333333</v>
      </c>
    </row>
    <row r="25">
      <c r="A25" s="0">
        <f>VAR(1,2,3,4)</f>
        <v>1.6666666666666667</v>
      </c>
    </row>
    <row r="26">
      <c r="A26" s="0">
        <f>_xlfn.VAR.S(1,2,3,4)</f>
        <v>1.6666666666666667</v>
      </c>
    </row>
    <row r="27">
      <c r="A27" s="0">
        <f>VARP(1,2,3,4)</f>
        <v>1.25</v>
      </c>
    </row>
    <row r="28">
      <c r="A28" s="0">
        <f>_xlfn.VAR.P(1,2,3,4)</f>
        <v>1.25</v>
      </c>
    </row>
    <row r="29">
      <c r="A29" s="0">
        <f>STDEV(1,2,3,4)</f>
        <v>1.2909944487358056</v>
      </c>
    </row>
    <row r="30">
      <c r="A30" s="0">
        <f>_xlfn.STDEV.S(1,2,3,4)</f>
        <v>1.2909944487358056</v>
      </c>
    </row>
    <row r="31">
      <c r="A31" s="0">
        <f>STDEVP(1,2,3,4)</f>
        <v>1.118033988749895</v>
      </c>
    </row>
    <row r="32">
      <c r="A32" s="0">
        <f>_xlfn.STDEV.P(1,2,3,4)</f>
        <v>1.118033988749895</v>
      </c>
    </row>
    <row r="33">
      <c r="A33" s="0" t="e">
        <f>STDEV(5)</f>
        <v>#DIV/0!</v>
      </c>
    </row>
    <row r="34">
      <c r="A34" s="0">
        <f>STDEVP(5)</f>
        <v>0</v>
      </c>
    </row>
    <row r="35">
      <c r="A35" s="0" t="e">
        <f>VARP(Data!J1)</f>
        <v>#DIV/0!</v>
      </c>
    </row>
    <row r="36">
      <c r="A36" s="0">
        <f>VAR(1000000001,1000000002,1000000003)</f>
        <v>1</v>
      </c>
    </row>
    <row r="37">
      <c r="A37" s="0">
        <f>VAR(1E15+1,1E15+2,1E15+3)</f>
        <v>1</v>
      </c>
    </row>
    <row r="38">
      <c r="A38" s="0">
        <f>VAR(0.1,0.2,0.3)</f>
        <v>0.009999999999999998</v>
      </c>
    </row>
    <row r="39">
      <c r="A39" s="0">
        <f>STDEV(0.1,0.2,0.3)</f>
        <v>0.09999999999999999</v>
      </c>
    </row>
    <row r="40">
      <c r="A40" s="0">
        <f>STDEV(Data!E2:E13)</f>
        <v>2.7122058561364044</v>
      </c>
    </row>
    <row r="41">
      <c r="A41" s="0">
        <f>STDEVP(Data!E2:E13)</f>
        <v>2.5967394084804805</v>
      </c>
    </row>
    <row r="42">
      <c r="A42" s="0">
        <f>VAR(Data!D2:D13)</f>
        <v>10008.22696969697</v>
      </c>
    </row>
    <row r="43">
      <c r="A43" s="0">
        <f>VARP(Data!D2:D13)</f>
        <v>9174.208055555557</v>
      </c>
    </row>
    <row r="44">
      <c r="A44" s="0">
        <f>_xlfn.STDEV.S(Data!D2:D13)</f>
        <v>100.04112639158443</v>
      </c>
    </row>
    <row r="45">
      <c r="A45" s="0">
        <f>_xlfn.STDEV.P(Data!D2:D13)</f>
        <v>95.78208629778095</v>
      </c>
    </row>
    <row r="46">
      <c r="A46" s="0" t="e">
        <f>STDEV(Data!G2:G13)</f>
        <v>#DIV/0!</v>
      </c>
    </row>
    <row r="47">
      <c r="A47" s="0">
        <f>VAR(Data!H2:H13)</f>
        <v>8049.719696969693</v>
      </c>
    </row>
    <row r="48">
      <c r="A48" s="0">
        <f>SUBTOTAL(1,Data!D2:D13)</f>
        <v>82.98333333333333</v>
      </c>
    </row>
    <row r="49">
      <c r="A49" s="0">
        <f>SUBTOTAL(2,Data!D2:D13)</f>
        <v>12</v>
      </c>
    </row>
    <row r="50">
      <c r="A50" s="0">
        <f>SUBTOTAL(3,Data!D2:D13)</f>
        <v>12</v>
      </c>
    </row>
    <row r="51">
      <c r="A51" s="0">
        <f>SUBTOTAL(4,Data!D2:D13)</f>
        <v>300</v>
      </c>
    </row>
    <row r="52">
      <c r="A52" s="0">
        <f>SUBTOTAL(5,Data!D2:D13)</f>
        <v>-20</v>
      </c>
    </row>
    <row r="53">
      <c r="A53" s="0">
        <f>SUBTOTAL(6,Data!D2:D13)</f>
        <v>-37199250000000000</v>
      </c>
    </row>
    <row r="54">
      <c r="A54" s="0">
        <f>SUBTOTAL(7,Data!D2:D13)</f>
        <v>100.04112639158443</v>
      </c>
    </row>
    <row r="55">
      <c r="A55" s="0">
        <f>SUBTOTAL(8,Data!D2:D13)</f>
        <v>95.78208629778095</v>
      </c>
    </row>
    <row r="56">
      <c r="A56" s="0">
        <f>SUBTOTAL(9,Data!D2:D13)</f>
        <v>995.8000000000001</v>
      </c>
    </row>
    <row r="57">
      <c r="A57" s="0">
        <f>SUBTOTAL(10,Data!D2:D13)</f>
        <v>10008.22696969697</v>
      </c>
    </row>
    <row r="58">
      <c r="A58" s="0">
        <f>SUBTOTAL(11,Data!D2:D13)</f>
        <v>9174.208055555557</v>
      </c>
    </row>
    <row r="59">
      <c r="A59" s="0">
        <f>SUBTOTAL(101,Data!D2:D13)</f>
        <v>82.98333333333333</v>
      </c>
    </row>
    <row r="60">
      <c r="A60" s="0">
        <f>SUBTOTAL(102,Data!D2:D13)</f>
        <v>12</v>
      </c>
    </row>
    <row r="61">
      <c r="A61" s="0">
        <f>SUBTOTAL(103,Data!D2:D13)</f>
        <v>12</v>
      </c>
    </row>
    <row r="62">
      <c r="A62" s="0">
        <f>SUBTOTAL(104,Data!D2:D13)</f>
        <v>300</v>
      </c>
    </row>
    <row r="63">
      <c r="A63" s="0">
        <f>SUBTOTAL(105,Data!D2:D13)</f>
        <v>-20</v>
      </c>
    </row>
    <row r="64">
      <c r="A64" s="0">
        <f>SUBTOTAL(106,Data!D2:D13)</f>
        <v>-37199250000000000</v>
      </c>
    </row>
    <row r="65">
      <c r="A65" s="0">
        <f>SUBTOTAL(107,Data!D2:D13)</f>
        <v>100.04112639158443</v>
      </c>
    </row>
    <row r="66">
      <c r="A66" s="0">
        <f>SUBTOTAL(108,Data!D2:D13)</f>
        <v>95.78208629778095</v>
      </c>
    </row>
    <row r="67">
      <c r="A67" s="0">
        <f>SUBTOTAL(109,Data!D2:D13)</f>
        <v>995.8000000000001</v>
      </c>
    </row>
    <row r="68">
      <c r="A68" s="0">
        <f>SUBTOTAL(110,Data!D2:D13)</f>
        <v>10008.22696969697</v>
      </c>
    </row>
    <row r="69">
      <c r="A69" s="0">
        <f>SUBTOTAL(111,Data!D2:D13)</f>
        <v>9174.208055555557</v>
      </c>
    </row>
    <row r="70">
      <c r="A70" s="0">
        <f>SUBTOTAL(102,Data!G2:G13)</f>
        <v>7</v>
      </c>
    </row>
    <row r="71">
      <c r="A71" s="0">
        <f>SUBTOTAL(103,Data!A2:A13)</f>
        <v>11</v>
      </c>
    </row>
    <row r="72">
      <c r="A72" s="0">
        <f>SUBTOTAL(103,Data!F2:F13)</f>
        <v>11</v>
      </c>
    </row>
    <row r="73">
      <c r="A73" s="0">
        <f>SUBTOTAL(9,Data!D2:D5)</f>
        <v>465.5</v>
      </c>
    </row>
    <row r="74">
      <c r="A74" s="0">
        <f>SUBTOTAL(109,Data!D2:D13,Data!E2:E13)</f>
        <v>1038.8000000000002</v>
      </c>
    </row>
    <row r="75">
      <c r="A75" s="0">
        <f>SUBTOTAL(9,Data!X1:X5)</f>
        <v>6</v>
      </c>
    </row>
    <row r="76">
      <c r="A76" s="0">
        <f>SUBTOTAL(109,Data!X1:X5)</f>
        <v>6</v>
      </c>
    </row>
    <row r="77">
      <c r="A77" s="0" t="e">
        <f>SUBTOTAL(9,Data!G2:G13)</f>
        <v>#DIV/0!</v>
      </c>
    </row>
    <row r="78">
      <c r="A78" s="0" t="e">
        <f>SUBTOTAL(109,Data!G2:G13)</f>
        <v>#DIV/0!</v>
      </c>
    </row>
    <row r="79">
      <c r="A79" s="0" t="e">
        <f>SUBTOTAL(0,Data!D2:D3)</f>
        <v>#VALUE!</v>
      </c>
    </row>
    <row r="80">
      <c r="A80" s="0" t="e">
        <f>SUBTOTAL(12,Data!D2:D3)</f>
        <v>#VALUE!</v>
      </c>
    </row>
    <row r="81">
      <c r="A81" s="0" t="e">
        <f>SUBTOTAL(100,Data!D2:D3)</f>
        <v>#VALUE!</v>
      </c>
    </row>
    <row r="82">
      <c r="A82" s="0" t="e">
        <f>SUBTOTAL(112,Data!D2:D3)</f>
        <v>#VALUE!</v>
      </c>
    </row>
    <row r="83">
      <c r="A83" s="0" t="e">
        <f>SUBTOTAL(-9,Data!D2:D3)</f>
        <v>#VALUE!</v>
      </c>
    </row>
    <row r="84">
      <c r="A84" s="0">
        <f>SUBTOTAL(9.7,Data!D2:D3)</f>
        <v>350.5</v>
      </c>
    </row>
    <row r="85">
      <c r="A85" s="0">
        <f>SUBTOTAL("9",Data!D2:D3)</f>
        <v>350.5</v>
      </c>
    </row>
    <row r="86">
      <c r="A86" s="0">
        <f>COUNTIF(Data!F2:F13,"~~*")</f>
        <v>1</v>
      </c>
    </row>
    <row r="87">
      <c r="A87" s="0">
        <f>SUBTOTAL(109,Data!D2:H2)</f>
        <v>46129</v>
      </c>
    </row>
    <row r="88">
      <c r="A88" s="0">
        <f>SUBTOTAL(109,Data!D6:H6)</f>
        <v>46386</v>
      </c>
    </row>
    <row r="89">
      <c r="A89" s="0">
        <f>SUBTOTAL(9,Data!D6)</f>
        <v>300</v>
      </c>
    </row>
    <row r="90">
      <c r="A90" s="0">
        <f>SUBTOTAL(9,Data!D7:H7)</f>
        <v>46216</v>
      </c>
    </row>
    <row r="91">
      <c r="A91" s="0">
        <f>SUMIFS(Data!D2:D13,Data!A2:A13,"Cash")</f>
        <v>310.2</v>
      </c>
    </row>
    <row r="92">
      <c r="A92" s="0">
        <f>SUMIFS(Data!D2:D13,Data!A2:A13,"Cash",Data!B2:B13,3)</f>
        <v>125.2</v>
      </c>
    </row>
    <row r="93">
      <c r="A93" s="0">
        <f>SUMIFS(Data!D2:D13,Data!A2:A13,"Cash",Data!B2:B13,"&gt;1")</f>
        <v>210.2</v>
      </c>
    </row>
    <row r="94">
      <c r="A94" s="0">
        <f>SUMIFS(Data!D2:D13,Data!C2:C13,"east")</f>
        <v>310.2</v>
      </c>
    </row>
    <row r="95">
      <c r="A95" s="0">
        <f>SUMIFS(Data!D2:D13,Data!A2:A13,"B*")</f>
        <v>550.6</v>
      </c>
    </row>
    <row r="96">
      <c r="A96" s="0">
        <f>SUMIFS(Data!D2:D13,Data!A2:A13,"?a??")</f>
        <v>935.8000000000001</v>
      </c>
    </row>
    <row r="97">
      <c r="A97" s="0">
        <f>SUMIFS(Data!D2:D13,Data!A2:A13,"")</f>
        <v>60</v>
      </c>
    </row>
    <row r="98">
      <c r="A98" s="0">
        <f>SUMIFS(Data!D2:D13,Data!A2:A13,"=")</f>
        <v>60</v>
      </c>
    </row>
    <row r="99">
      <c r="A99" s="0">
        <f>SUMIFS(Data!D2:D13,Data!A2:A13,"&lt;&gt;")</f>
        <v>935.8000000000001</v>
      </c>
    </row>
    <row r="100">
      <c r="A100" s="0">
        <f>SUMIFS(Data!D2:D13,Data!B2:B13,"3")</f>
        <v>480.2</v>
      </c>
    </row>
    <row r="101">
      <c r="A101" s="0">
        <f>SUMIFS(Data!D2:D13,Data!B2:B13,3)</f>
        <v>480.2</v>
      </c>
    </row>
    <row r="102">
      <c r="A102" s="0">
        <f>SUMIFS(Data!D2:D13,Data!B2:B13,"&gt;=3")</f>
        <v>435.2</v>
      </c>
    </row>
    <row r="103">
      <c r="A103" s="0">
        <f>SUMIFS(Data!D2:D13,Data!B2:B13,"&lt;&gt;3")</f>
        <v>570.6</v>
      </c>
    </row>
    <row r="104">
      <c r="A104" s="0">
        <f>SUMIFS(Data!D2:D13,Data!G2:G13,TRUE)</f>
        <v>250.5</v>
      </c>
    </row>
    <row r="105">
      <c r="A105" s="0">
        <f>SUMIFS(Data!D2:D13,Data!G2:G13,"#DIV/0!")</f>
        <v>40</v>
      </c>
    </row>
    <row r="106">
      <c r="A106" s="0">
        <f>SUMIFS(Data!D2:D13,Data!F2:F13,"a~*b")</f>
        <v>250.5</v>
      </c>
    </row>
    <row r="107">
      <c r="A107" s="0">
        <f>SUMIFS(Data!D2:D13,Data!F2:F13,"a?b")</f>
        <v>325.5</v>
      </c>
    </row>
    <row r="108">
      <c r="A108" s="0">
        <f>SUMIFS(Data!D2:D13,Data!F2:F13,"~~tilde")</f>
        <v>0</v>
      </c>
    </row>
    <row r="109">
      <c r="A109" s="0">
        <f>SUMIFS(Data!D2:D13,Data!F2:F13,"*")</f>
        <v>695.8000000000001</v>
      </c>
    </row>
    <row r="110">
      <c r="A110" s="0">
        <f>SUMIFS(Data!D2:D13,Data!F2:F13,"?*")</f>
        <v>570.8000000000001</v>
      </c>
    </row>
    <row r="111">
      <c r="A111" s="0">
        <f>SUMIFS(Data!D2:D13,Data!B2:B13,"&gt;1",Data!B2:B13,"&lt;3")</f>
        <v>175.1</v>
      </c>
    </row>
    <row r="112">
      <c r="A112" s="0" t="e">
        <f>SUMIFS(Data!G2:G13,Data!A2:A13,"Card")</f>
        <v>#DIV/0!</v>
      </c>
    </row>
    <row r="113">
      <c r="A113" s="0">
        <f>SUMIFS(Data!G2:G13,Data!A2:A13,"Cash")</f>
        <v>12</v>
      </c>
    </row>
    <row r="114">
      <c r="A114" s="0" t="e">
        <f>SUMIFS(Data!D2:D13,Data!A2:A12,"Cash")</f>
        <v>#VALUE!</v>
      </c>
    </row>
    <row r="115">
      <c r="A115" s="0">
        <f>SUMIFS(Data!D2:D13,Data!A2:A13,Data!J1)</f>
        <v>0</v>
      </c>
    </row>
    <row r="116">
      <c r="A116" s="0">
        <f>SUMIFS(Data!D2:D13,Data!H2:H13,"&gt;="&amp;DATE(2026,2,1))</f>
        <v>665.3000000000001</v>
      </c>
    </row>
    <row r="117">
      <c r="A117" s="0">
        <f>SUMIFS(Data!D:D,Data!A:A,"Cash")</f>
        <v>310.2</v>
      </c>
    </row>
    <row r="118">
      <c r="A118" s="0">
        <f>SUMIFS(Data!D2:E13,Data!A2:B13,"Cash")</f>
        <v>310.2</v>
      </c>
    </row>
    <row r="119">
      <c r="A119" s="0">
        <f>SUMIFS(Data!D2:D13,Data!A2:A13,"Cash",Data!C2:C13,"East",Data!E2:E13,"&gt;2")</f>
        <v>225.2</v>
      </c>
    </row>
    <row r="120">
      <c r="A120" s="0">
        <f>COUNTIFS(Data!A2:A13,"Cash",Data!B2:B13,"&gt;1")</f>
        <v>4</v>
      </c>
    </row>
    <row r="121">
      <c r="A121" s="0">
        <f>COUNTIFS(Data!A2:A13,"&lt;&gt;Cash")</f>
        <v>7</v>
      </c>
    </row>
    <row r="122">
      <c r="A122" s="0">
        <f>COUNTIFS(Data!F2:F13,"")</f>
        <v>2</v>
      </c>
    </row>
    <row r="123">
      <c r="A123" s="0">
        <f>COUNTIFS(Data!A2:A13,"*")</f>
        <v>11</v>
      </c>
    </row>
    <row r="124">
      <c r="A124" s="0">
        <f>COUNTIFS(Data!A:A,"Cash")</f>
        <v>5</v>
      </c>
    </row>
    <row r="125">
      <c r="A125" s="0">
        <f>COUNTIFS(Data!A:A,"")</f>
        <v>1048564</v>
      </c>
    </row>
    <row r="126">
      <c r="A126" s="0">
        <f>COUNTIFS(Data!A:A,"",Data!B:B,"")</f>
        <v>1048563</v>
      </c>
    </row>
    <row r="127">
      <c r="A127" s="0" t="e">
        <f>COUNTIFS(Data!A2:A13,"Cash",Data!B2:B12,3)</f>
        <v>#VALUE!</v>
      </c>
    </row>
    <row r="128">
      <c r="A128" s="0">
        <f>COUNTIFS(Data!B2:B13,Data!J1)</f>
        <v>0</v>
      </c>
    </row>
    <row r="129">
      <c r="A129" s="0">
        <f>COUNTIFS(Data!E2:E13,Data!J1)</f>
        <v>1</v>
      </c>
    </row>
    <row r="130">
      <c r="A130" s="0">
        <f>COUNTIFS(Data!G2:G13,"&lt;&gt;#DIV/0!")</f>
        <v>11</v>
      </c>
    </row>
    <row r="131">
      <c r="A131" s="0">
        <f>COUNTIFS(Data!G2:G13,"&gt;=2")</f>
        <v>6</v>
      </c>
    </row>
    <row r="132">
      <c r="A132" s="0">
        <f>COUNTIFS(Data!A2:A13,"cash",Data!C2:C13,"EAST")</f>
        <v>5</v>
      </c>
    </row>
    <row r="133">
      <c r="A133" s="0">
        <f>AVERAGEIF(Data!D2:D13,"&gt;100")</f>
        <v>225.16666666666666</v>
      </c>
    </row>
    <row r="134">
      <c r="A134" s="0">
        <f>AVERAGEIF(Data!A2:A13,"Cash",Data!D2:D13)</f>
        <v>62.04</v>
      </c>
    </row>
    <row r="135">
      <c r="A135" s="0">
        <f>AVERAGEIF(Data!A2:A13,"Cash",Data!D2)</f>
      </c>
    </row>
    <row r="136">
      <c r="A136" s="0">
        <f>AVERAGEIF(Data!A2:A13,"Cash",Data!D2:E13)</f>
        <v>62.04</v>
      </c>
    </row>
    <row r="137">
      <c r="A137" s="0" t="e">
        <f>AVERAGEIF(Data!A2:A13,"Nope",Data!D2:D13)</f>
        <v>#DIV/0!</v>
      </c>
    </row>
    <row r="138">
      <c r="A138" s="0">
        <f>AVERAGEIF(Data!G2:G13,"&gt;0")</f>
        <v>4</v>
      </c>
    </row>
    <row r="139">
      <c r="A139" s="0" t="e">
        <f>AVERAGEIF(Data!G2:G13,"&lt;&gt;")</f>
        <v>#DIV/0!</v>
      </c>
    </row>
    <row r="140">
      <c r="A140" s="0">
        <f>AVERAGEIFS(Data!D2:D13,Data!A2:A13,"Cash",Data!B2:B13,3)</f>
        <v>62.6</v>
      </c>
    </row>
    <row r="141">
      <c r="A141" s="0" t="e">
        <f>AVERAGEIFS(Data!D2:D13,Data!A2:A13,"Nope")</f>
        <v>#DIV/0!</v>
      </c>
    </row>
    <row r="142">
      <c r="A142" s="0">
        <f>AVERAGEIFS(Data!G2:G13,Data!A2:A13,"Cash")</f>
        <v>3</v>
      </c>
    </row>
    <row r="143">
      <c r="A143" s="0" t="e">
        <f>AVERAGEIFS(Data!D2:D13,Data!A2:A12,"Cash")</f>
        <v>#VALUE!</v>
      </c>
    </row>
    <row r="144">
      <c r="A144" s="0">
        <f>_xlfn.MAXIFS(Data!D2:D13,Data!A2:A13,"Card")</f>
        <v>55</v>
      </c>
    </row>
    <row r="145">
      <c r="A145" s="0">
        <f>_xlfn.MINIFS(Data!D2:D13,Data!A2:A13,"Card")</f>
        <v>-20</v>
      </c>
    </row>
    <row r="146">
      <c r="A146" s="0">
        <f>_xlfn.MAXIFS(Data!D2:D13,Data!A2:A13,"Nope")</f>
        <v>0</v>
      </c>
    </row>
    <row r="147">
      <c r="A147" s="0">
        <f>_xlfn.MINIFS(Data!D2:D13,Data!A2:A13,"Nope")</f>
        <v>0</v>
      </c>
    </row>
    <row r="148">
      <c r="A148" s="0" t="e">
        <f>_xlfn.MAXIFS(Data!G2:G13,Data!A2:A13,"Card")</f>
        <v>#DIV/0!</v>
      </c>
    </row>
    <row r="149">
      <c r="A149" s="0" t="e">
        <f>_xlfn.MAXIFS(Data!D2:D13,Data!A2:A12,"Card")</f>
        <v>#VALUE!</v>
      </c>
    </row>
    <row r="150">
      <c r="A150" s="0">
        <f>_xlfn.MINIFS(Data!E2:E13,Data!C2:C13,"West",Data!B2:B13,"&gt;=2")</f>
        <v>1</v>
      </c>
    </row>
    <row r="151">
      <c r="A151" s="0">
        <f>_xlfn.MAXIFS(Data!H2:H13,Data!A2:A13,"&lt;&gt;Cash")</f>
        <v>46085</v>
      </c>
    </row>
    <row r="152">
      <c r="A152" s="0">
        <f>DSUM(Data!A1:H13,"Amount",Data!K1:K2)</f>
        <v>310.2</v>
      </c>
    </row>
    <row r="153">
      <c r="A153" s="0">
        <f>DSUM(Data!A1:H13,4,Data!K1:K2)</f>
        <v>310.2</v>
      </c>
    </row>
    <row r="154">
      <c r="A154" s="0">
        <f>DSUM(Data!A1:H13,4.7,Data!K1:K2)</f>
        <v>310.2</v>
      </c>
    </row>
    <row r="155">
      <c r="A155" s="0">
        <f>DSUM(Data!A1:H13,"amount",Data!K1:K2)</f>
        <v>310.2</v>
      </c>
    </row>
    <row r="156">
      <c r="A156" s="0" t="e">
        <f>DSUM(Data!A1:H13,"Amt",Data!K1:K2)</f>
        <v>#VALUE!</v>
      </c>
    </row>
    <row r="157">
      <c r="A157" s="0" t="e">
        <f>DSUM(Data!A1:H13,0,Data!K1:K2)</f>
        <v>#VALUE!</v>
      </c>
    </row>
    <row r="158">
      <c r="A158" s="0" t="e">
        <f>DSUM(Data!A1:H13,9,Data!K1:K2)</f>
        <v>#VALUE!</v>
      </c>
    </row>
    <row r="159">
      <c r="A159" s="0" t="e">
        <f>DSUM(Data!A1:H13,,Data!K1:K2)</f>
        <v>#VALUE!</v>
      </c>
    </row>
    <row r="160">
      <c r="A160" s="0" t="e">
        <f>DSUM(Data!A1:H13,"4",Data!K1:K2)</f>
        <v>#VALUE!</v>
      </c>
    </row>
    <row r="161">
      <c r="A161" s="0">
        <f>DSUM(Data!A1:H13,Data!D1,Data!K1:K2)</f>
        <v>310.2</v>
      </c>
    </row>
    <row r="162">
      <c r="A162" s="0">
        <f>DCOUNTA(Data!A1:H13,"Note",Data!L1:L2)</f>
        <v>4</v>
      </c>
    </row>
    <row r="163">
      <c r="A163" s="0">
        <f>DCOUNTA(Data!A1:H13,"Note",Data!M1:M2)</f>
        <v>1</v>
      </c>
    </row>
    <row r="164">
      <c r="A164" s="0">
        <f>DCOUNTA(Data!A1:H13,"Note",Data!Y1:Y2)</f>
        <v>4</v>
      </c>
    </row>
    <row r="165">
      <c r="A165" s="0">
        <f>DCOUNTA(Data!A1:H13,"Note",Data!Z1:Z2)</f>
        <v>2</v>
      </c>
    </row>
    <row r="166">
      <c r="A166" s="0">
        <f>DCOUNTA(Data!A1:H13,"Note",Data!AA1:AA2)</f>
        <v>4</v>
      </c>
    </row>
    <row r="167">
      <c r="A167" s="0">
        <f>DSUM(Data!A1:H13,"Amount",Data!N1:N2)</f>
        <v>480.2</v>
      </c>
    </row>
    <row r="168">
      <c r="A168" s="0">
        <f>DSUM(Data!A1:H13,"Amount",Data!O1:P2)</f>
        <v>125.2</v>
      </c>
    </row>
    <row r="169">
      <c r="A169" s="0">
        <f>DSUM(Data!A1:H13,"Amount",Data!Q1:Q3)</f>
        <v>625.6</v>
      </c>
    </row>
    <row r="170">
      <c r="A170" s="0">
        <f>DSUM(Data!A1:H13,"Amount",Data!R1:R3)</f>
        <v>995.8000000000001</v>
      </c>
    </row>
    <row r="171">
      <c r="A171" s="0">
        <f>DCOUNT(Data!A1:H13,"Qty",Data!S1:S2)</f>
        <v>4</v>
      </c>
    </row>
    <row r="172">
      <c r="A172" s="0">
        <f>DSUM(Data!A1:H13,"Amount",Data!T1:T2)</f>
      </c>
    </row>
    <row r="173">
      <c r="A173" s="0">
        <f>DSUM(Data!A1:H13,"Amount",Data!U1:U2)</f>
      </c>
    </row>
    <row r="174">
      <c r="A174" s="0">
        <f>DSUM(Data!A1:H13,"Amount",Data!AB1:AB2)</f>
        <v>10</v>
      </c>
    </row>
    <row r="175">
      <c r="A175" s="0">
        <f>DSUM(Data!A1:H13,"Amount",Data!AC1:AC2)</f>
        <v>10</v>
      </c>
    </row>
    <row r="176">
      <c r="A176" s="0">
        <f>DSUM(Data!A1:H13,"Amount",Data!AD1:AD2)</f>
        <v>675.5</v>
      </c>
    </row>
    <row r="177">
      <c r="A177" s="0">
        <f>DCOUNTA(Data!A1:H13,"Account",Data!AE1:AE2)</f>
        <v>6</v>
      </c>
    </row>
    <row r="178">
      <c r="A178" s="0">
        <f>DCOUNT(Data!A1:H13,,Data!AE1:AE2)</f>
        <v>7</v>
      </c>
    </row>
    <row r="179">
      <c r="A179" s="0">
        <f>DSUM(Data!A1:H13,"Amount",Data!AF1:AF2)</f>
        <v>60</v>
      </c>
    </row>
    <row r="180">
      <c r="A180" s="0">
        <f>DCOUNT(Data!A1:H13,,Data!AG1:AG2)</f>
        <v>11</v>
      </c>
    </row>
    <row r="181">
      <c r="A181" s="0">
        <f>DSUM(Data!A1:H13,"Amount",Data!AH1:AH2)</f>
        <v>250.5</v>
      </c>
    </row>
    <row r="182">
      <c r="A182" s="0">
        <f>DSUM(Data!A1:H13,"Amount",Data!AI1:AJ3)</f>
        <v>200.2</v>
      </c>
    </row>
    <row r="183">
      <c r="A183" s="0">
        <f>DCOUNT(Data!A1:H13,"Mixed",Data!AK1:AK2)</f>
        <v>6</v>
      </c>
    </row>
    <row r="184">
      <c r="A184" s="0" t="e">
        <f>DGET(Data!A1:H13,"Amount",Data!O1:P2)</f>
        <v>#NUM!</v>
      </c>
    </row>
    <row r="185">
      <c r="A185" s="0">
        <f>DGET(Data!A1:H13,"Amount",Data!M1:M2)</f>
        <v>-20</v>
      </c>
    </row>
    <row r="186">
      <c r="A186" s="0" t="e">
        <f>DGET(Data!A1:H13,"Amount",Data!W1:W2)</f>
        <v>#VALUE!</v>
      </c>
    </row>
    <row r="187">
      <c r="A187" s="0" t="str">
        <f>DGET(Data!A1:H13,"Note",Data!M1:M2)</f>
        <v>Dav</v>
      </c>
    </row>
    <row r="188">
      <c r="A188" s="0" t="e">
        <f>DGET(Data!A1:H13,"Mixed",Data!M1:M2)</f>
        <v>#VALUE!</v>
      </c>
    </row>
    <row r="189">
      <c r="A189" s="0">
        <f>DCOUNT(Data!A1:H13,,Data!K1:K2)</f>
        <v>5</v>
      </c>
    </row>
    <row r="190">
      <c r="A190" s="0">
        <f>DCOUNTA(Data!A1:H13,,Data!K1:K2)</f>
        <v>5</v>
      </c>
    </row>
    <row r="191">
      <c r="A191" s="0">
        <f>DCOUNT(Data!A1:H13,"Mixed",Data!K1:K2)</f>
        <v>4</v>
      </c>
    </row>
    <row r="192">
      <c r="A192" s="0">
        <f>DCOUNTA(Data!A1:H13,"Mixed",Data!K1:K2)</f>
        <v>5</v>
      </c>
    </row>
    <row r="193">
      <c r="A193" s="0">
        <f>DAVERAGE(Data!A1:H13,"Amount",Data!K1:K2)</f>
        <v>62.04</v>
      </c>
    </row>
    <row r="194">
      <c r="A194" s="0" t="e">
        <f>DAVERAGE(Data!A1:H13,"Amount",Data!W1:W2)</f>
        <v>#DIV/0!</v>
      </c>
    </row>
    <row r="195">
      <c r="A195" s="0">
        <f>DMAX(Data!A1:H13,"Amount",Data!K1:K2)</f>
        <v>125</v>
      </c>
    </row>
    <row r="196">
      <c r="A196" s="0">
        <f>DMIN(Data!A1:H13,"Amount",Data!K1:K2)</f>
        <v>0.2</v>
      </c>
    </row>
    <row r="197">
      <c r="A197" s="0">
        <f>DMAX(Data!A1:H13,"Amount",Data!W1:W2)</f>
        <v>0</v>
      </c>
    </row>
    <row r="198">
      <c r="A198" s="0">
        <f>DMIN(Data!A1:H13,"Amount",Data!W1:W2)</f>
        <v>0</v>
      </c>
    </row>
    <row r="199">
      <c r="A199" s="0">
        <f>DPRODUCT(Data!A1:H13,"Qty",Data!K1:K2)</f>
        <v>0</v>
      </c>
    </row>
    <row r="200">
      <c r="A200" s="0">
        <f>DPRODUCT(Data!A1:H13,"Qty",Data!W1:W2)</f>
        <v>0</v>
      </c>
    </row>
    <row r="201">
      <c r="A201" s="0">
        <f>DSTDEV(Data!A1:H13,"Qty",Data!K1:K2)</f>
        <v>3.5071355833500366</v>
      </c>
    </row>
    <row r="202">
      <c r="A202" s="0">
        <f>DSTDEVP(Data!A1:H13,"Qty",Data!K1:K2)</f>
        <v>3.1368774282716245</v>
      </c>
    </row>
    <row r="203">
      <c r="A203" s="0">
        <f>DVAR(Data!A1:H13,"Qty",Data!K1:K2)</f>
        <v>12.3</v>
      </c>
    </row>
    <row r="204">
      <c r="A204" s="0">
        <f>DVARP(Data!A1:H13,"Qty",Data!K1:K2)</f>
        <v>9.84</v>
      </c>
    </row>
    <row r="205">
      <c r="A205" s="0" t="e">
        <f>DSTDEV(Data!A1:H13,"Qty",Data!M1:M2)</f>
        <v>#DIV/0!</v>
      </c>
    </row>
    <row r="206">
      <c r="A206" s="0">
        <f>DSUM(Data!A1:H13,"Mixed",Data!K1:K2)</f>
        <v>12</v>
      </c>
    </row>
    <row r="207">
      <c r="A207" s="0" t="e">
        <f>DSUM(Data!A1:H13,"Mixed",Data!Q1:Q3)</f>
        <v>#DIV/0!</v>
      </c>
    </row>
    <row r="208">
      <c r="A208" s="0" t="e">
        <f>DSUM(Data!A1:H13,"Amount",Data!K1)</f>
        <v>#VALUE!</v>
      </c>
    </row>
    <row r="209">
      <c r="A209" s="0">
        <f>DSUM(Data!A1:H13,"Amount",Data!K2:K3)</f>
        <v>995.8000000000001</v>
      </c>
    </row>
    <row r="210">
      <c r="A210" s="0">
        <f>DSUM(Data!A:H,"Amount",Data!K1:K2)</f>
        <v>310.2</v>
      </c>
    </row>
    <row r="211">
      <c r="A211" s="0">
        <f>DCOUNTA(Data!A:H,,Data!AF1:AF2)</f>
        <v>1</v>
      </c>
    </row>
    <row r="212">
      <c r="A212" s="0">
        <f>DSUM(Data!A1:H13,"Amount",Data!K1:L2)</f>
        <v>10</v>
      </c>
    </row>
    <row r="213">
      <c r="A213" s="0" t="e">
        <f>DGET(Data!A1:H13,"Note",Data!AL1:AL2)</f>
        <v>#VALUE!</v>
      </c>
    </row>
    <row r="214">
      <c r="A214" s="0">
        <f>COUNTIF(Data!F2:F13,"~tilde")</f>
        <v>1</v>
      </c>
    </row>
    <row r="215">
      <c r="A215" s="0">
        <f>COUNTIF(Data!F2:F13,"~t*")</f>
        <v>0</v>
      </c>
    </row>
    <row r="216">
      <c r="A216" s="0">
        <f>MATCH("~~tilde",Data!F2:F13,0)</f>
        <v>4</v>
      </c>
    </row>
    <row r="217">
      <c r="A217" s="0" t="e">
        <f>MATCH("~tilde",Data!F2:F13,0)</f>
        <v>#N/A</v>
      </c>
    </row>
    <row r="218">
      <c r="A218" s="0">
        <f>DCOUNTA(Far!A:A,,Far!E1:E2)</f>
        <v>6</v>
      </c>
    </row>
    <row r="219">
      <c r="A219" s="0">
        <f>DSUM(Data!A1:H13,"Amount",Data!K13:K15)</f>
        <v>995.8000000000001</v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