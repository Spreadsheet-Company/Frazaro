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worksheets/frazaro_4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logic" sheetId="3" r:id="rIdFrazaro3"/>
    <sheet name="math" sheetId="4" r:id="rIdFrazaro4"/>
  </sheets>
  <definedNames>
    <definedName name="Frazaro.Build">"Frazaro 0.8.0; sentences sha256:AC5301DBC1F55220FFDA023604667E1AB429335BDA03D9902519B1335DA93B37 over 4455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4" Type="http://schemas.openxmlformats.org/officeDocument/2006/relationships/worksheet" Target="worksheets/frazaro_4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32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recalculation subset's fixture (KERNEL.7): one formula per function the declared subset computes and per</t>
        </is>
      </c>
      <c r="C1" s="3" t="inlineStr">
        <is>
          <t xml:space="preserve">OK</t>
        </is>
      </c>
    </row>
    <row r="2">
      <c r="B2" s="1" t="inlineStr">
        <is>
          <t xml:space="preserve"># coercion it claims, with the inputs each needs, so that a Save in Excel 365 gives every row its cached value.</t>
        </is>
      </c>
      <c r="C2" s="3" t="inlineStr">
        <is>
          <t xml:space="preserve">OK</t>
        </is>
      </c>
    </row>
    <row r="3">
      <c r="B3" s="1" t="inlineStr">
        <is>
          <t xml:space="preserve"># Built by frazaro into subset.xlsx (no cached values); the owner's save of it is subset_saved.xlsx, the oracle.</t>
        </is>
      </c>
      <c r="C3" s="3" t="inlineStr">
        <is>
          <t xml:space="preserve">OK</t>
        </is>
      </c>
    </row>
    <row r="5">
      <c r="B5" s="1" t="inlineStr">
        <is>
          <t xml:space="preserve">Put 5 into cell A1.</t>
        </is>
      </c>
      <c r="C5" s="3" t="inlineStr">
        <is>
          <t xml:space="preserve">OK</t>
        </is>
      </c>
    </row>
    <row r="6">
      <c r="B6" s="1" t="inlineStr">
        <is>
          <t xml:space="preserve">Put "7" into cell A2.</t>
        </is>
      </c>
      <c r="C6" s="3" t="inlineStr">
        <is>
          <t xml:space="preserve">OK</t>
        </is>
      </c>
    </row>
    <row r="7">
      <c r="B7" s="1" t="inlineStr">
        <is>
          <t xml:space="preserve">Put formula "=TRUE" into cell A3.</t>
        </is>
      </c>
      <c r="C7" s="3" t="inlineStr">
        <is>
          <t xml:space="preserve">OK</t>
        </is>
      </c>
    </row>
    <row r="8">
      <c r="B8" s="1" t="inlineStr">
        <is>
          <t xml:space="preserve">Put "abc" into cell A5.</t>
        </is>
      </c>
      <c r="C8" s="3" t="inlineStr">
        <is>
          <t xml:space="preserve">OK</t>
        </is>
      </c>
    </row>
    <row r="9">
      <c r="B9" s="1" t="inlineStr">
        <is>
          <t xml:space="preserve">Put 0.1 into cell A6.</t>
        </is>
      </c>
      <c r="C9" s="3" t="inlineStr">
        <is>
          <t xml:space="preserve">OK</t>
        </is>
      </c>
    </row>
    <row r="10">
      <c r="B10" s="1" t="inlineStr">
        <is>
          <t xml:space="preserve">Put 0.2 into cell A7.</t>
        </is>
      </c>
      <c r="C10" s="3" t="inlineStr">
        <is>
          <t xml:space="preserve">OK</t>
        </is>
      </c>
    </row>
    <row r="11">
      <c r="B11" s="1" t="inlineStr">
        <is>
          <t xml:space="preserve">Put -2 into cell A8.</t>
        </is>
      </c>
      <c r="C11" s="3" t="inlineStr">
        <is>
          <t xml:space="preserve">OK</t>
        </is>
      </c>
    </row>
    <row r="12">
      <c r="B12" s="1" t="inlineStr">
        <is>
          <t xml:space="preserve">Put formula "=A1+A2" into cell C1.</t>
        </is>
      </c>
      <c r="C12" s="3" t="inlineStr">
        <is>
          <t xml:space="preserve">OK</t>
        </is>
      </c>
    </row>
    <row r="13">
      <c r="B13" s="1" t="inlineStr">
        <is>
          <t xml:space="preserve">Put formula "=A1+A3" into cell C2.</t>
        </is>
      </c>
      <c r="C13" s="3" t="inlineStr">
        <is>
          <t xml:space="preserve">OK</t>
        </is>
      </c>
    </row>
    <row r="14">
      <c r="B14" s="1" t="inlineStr">
        <is>
          <t xml:space="preserve">Put formula "=A1+A4" into cell C3.</t>
        </is>
      </c>
      <c r="C14" s="3" t="inlineStr">
        <is>
          <t xml:space="preserve">OK</t>
        </is>
      </c>
    </row>
    <row r="15">
      <c r="B15" s="1" t="inlineStr">
        <is>
          <t xml:space="preserve">Put formula "=A1+A5" into cell C4.</t>
        </is>
      </c>
      <c r="C15" s="3" t="inlineStr">
        <is>
          <t xml:space="preserve">OK</t>
        </is>
      </c>
    </row>
    <row r="16">
      <c r="B16" s="1" t="inlineStr">
        <is>
          <t xml:space="preserve">Put formula "=A1&amp;A2" into cell C5.</t>
        </is>
      </c>
      <c r="C16" s="3" t="inlineStr">
        <is>
          <t xml:space="preserve">OK</t>
        </is>
      </c>
    </row>
    <row r="17">
      <c r="B17" s="1" t="inlineStr">
        <is>
          <t xml:space="preserve">Put formula "=A6+A7&amp;""""" into cell C6.</t>
        </is>
      </c>
      <c r="C17" s="3" t="inlineStr">
        <is>
          <t xml:space="preserve">OK</t>
        </is>
      </c>
    </row>
    <row r="18">
      <c r="B18" s="1" t="inlineStr">
        <is>
          <t xml:space="preserve">Put formula "=A3&amp;""""" into cell C7.</t>
        </is>
      </c>
      <c r="C18" s="3" t="inlineStr">
        <is>
          <t xml:space="preserve">OK</t>
        </is>
      </c>
    </row>
    <row r="19">
      <c r="B19" s="1" t="inlineStr">
        <is>
          <t xml:space="preserve">Put formula "=A1=A2" into cell C8.</t>
        </is>
      </c>
      <c r="C19" s="3" t="inlineStr">
        <is>
          <t xml:space="preserve">OK</t>
        </is>
      </c>
    </row>
    <row r="20">
      <c r="B20" s="1" t="inlineStr">
        <is>
          <t xml:space="preserve">Put formula "=A1&lt;A5" into cell C9.</t>
        </is>
      </c>
      <c r="C20" s="3" t="inlineStr">
        <is>
          <t xml:space="preserve">OK</t>
        </is>
      </c>
    </row>
    <row r="21">
      <c r="B21" s="1" t="inlineStr">
        <is>
          <t xml:space="preserve">Put formula "=A3&gt;A5" into cell C10.</t>
        </is>
      </c>
      <c r="C21" s="3" t="inlineStr">
        <is>
          <t xml:space="preserve">OK</t>
        </is>
      </c>
    </row>
    <row r="22">
      <c r="B22" s="1" t="inlineStr">
        <is>
          <t xml:space="preserve">Put formula "=""ABC""=""abc""" into cell C11.</t>
        </is>
      </c>
      <c r="C22" s="3" t="inlineStr">
        <is>
          <t xml:space="preserve">OK</t>
        </is>
      </c>
    </row>
    <row r="23">
      <c r="B23" s="1" t="inlineStr">
        <is>
          <t xml:space="preserve">Put formula "=A4=0" into cell C12.</t>
        </is>
      </c>
      <c r="C23" s="3" t="inlineStr">
        <is>
          <t xml:space="preserve">OK</t>
        </is>
      </c>
    </row>
    <row r="24">
      <c r="B24" s="1" t="inlineStr">
        <is>
          <t xml:space="preserve">Put formula "=A4=""""" into cell C13.</t>
        </is>
      </c>
      <c r="C24" s="3" t="inlineStr">
        <is>
          <t xml:space="preserve">OK</t>
        </is>
      </c>
    </row>
    <row r="25">
      <c r="B25" s="1" t="inlineStr">
        <is>
          <t xml:space="preserve">Put formula "=-A8^2" into cell C14.</t>
        </is>
      </c>
      <c r="C25" s="3" t="inlineStr">
        <is>
          <t xml:space="preserve">OK</t>
        </is>
      </c>
    </row>
    <row r="26">
      <c r="B26" s="1" t="inlineStr">
        <is>
          <t xml:space="preserve">Put formula "=2^3^2" into cell C15.</t>
        </is>
      </c>
      <c r="C26" s="3" t="inlineStr">
        <is>
          <t xml:space="preserve">OK</t>
        </is>
      </c>
    </row>
    <row r="27">
      <c r="B27" s="1" t="inlineStr">
        <is>
          <t xml:space="preserve">Put formula "=A1/A4" into cell C16.</t>
        </is>
      </c>
      <c r="C27" s="3" t="inlineStr">
        <is>
          <t xml:space="preserve">OK</t>
        </is>
      </c>
    </row>
    <row r="28">
      <c r="B28" s="1" t="inlineStr">
        <is>
          <t xml:space="preserve">Put formula "=0^0" into cell C17.</t>
        </is>
      </c>
      <c r="C28" s="3" t="inlineStr">
        <is>
          <t xml:space="preserve">OK</t>
        </is>
      </c>
    </row>
    <row r="29">
      <c r="B29" s="1" t="inlineStr">
        <is>
          <t xml:space="preserve">Put formula "=50%" into cell C18.</t>
        </is>
      </c>
      <c r="C29" s="3" t="inlineStr">
        <is>
          <t xml:space="preserve">OK</t>
        </is>
      </c>
    </row>
    <row r="30">
      <c r="B30" s="1" t="inlineStr">
        <is>
          <t xml:space="preserve">Put formula "=A2*2" into cell C19.</t>
        </is>
      </c>
      <c r="C30" s="3" t="inlineStr">
        <is>
          <t xml:space="preserve">OK</t>
        </is>
      </c>
    </row>
    <row r="31">
      <c r="B31" s="1" t="inlineStr">
        <is>
          <t xml:space="preserve">Put formula "=1/3&amp;""""" into cell C20.</t>
        </is>
      </c>
      <c r="C31" s="3" t="inlineStr">
        <is>
          <t xml:space="preserve">OK</t>
        </is>
      </c>
    </row>
    <row r="32">
      <c r="B32" s="1" t="inlineStr">
        <is>
          <t xml:space="preserve">Put formula "=0.0000001&amp;""""" into cell C21.</t>
        </is>
      </c>
      <c r="C32" s="3" t="inlineStr">
        <is>
          <t xml:space="preserve">OK</t>
        </is>
      </c>
    </row>
    <row r="33">
      <c r="B33" s="1" t="inlineStr">
        <is>
          <t xml:space="preserve">Put formula "=10^21&amp;""""" into cell C22.</t>
        </is>
      </c>
      <c r="C33" s="3" t="inlineStr">
        <is>
          <t xml:space="preserve">OK</t>
        </is>
      </c>
    </row>
    <row r="34">
      <c r="B34" s="1" t="inlineStr">
        <is>
          <t xml:space="preserve">Put formula "=10^20&amp;""""" into cell C23.</t>
        </is>
      </c>
      <c r="C34" s="3" t="inlineStr">
        <is>
          <t xml:space="preserve">OK</t>
        </is>
      </c>
    </row>
    <row r="35">
      <c r="B35" s="1" t="inlineStr">
        <is>
          <t xml:space="preserve">Put formula "=-""5""" into cell C24.</t>
        </is>
      </c>
      <c r="C35" s="3" t="inlineStr">
        <is>
          <t xml:space="preserve">OK</t>
        </is>
      </c>
    </row>
    <row r="36">
      <c r="B36" s="1" t="inlineStr">
        <is>
          <t xml:space="preserve">Put formula "=+""5""" into cell C25.</t>
        </is>
      </c>
      <c r="C36" s="3" t="inlineStr">
        <is>
          <t xml:space="preserve">OK</t>
        </is>
      </c>
    </row>
    <row r="37">
      <c r="B37" s="1" t="inlineStr">
        <is>
          <t xml:space="preserve">Put formula "=1E307*100" into cell C26.</t>
        </is>
      </c>
      <c r="C37" s="3" t="inlineStr">
        <is>
          <t xml:space="preserve">OK</t>
        </is>
      </c>
    </row>
    <row r="38">
      <c r="B38" s="1" t="inlineStr">
        <is>
          <t xml:space="preserve">Put formula "=(1=1)+1" into cell C27.</t>
        </is>
      </c>
      <c r="C38" s="3" t="inlineStr">
        <is>
          <t xml:space="preserve">OK</t>
        </is>
      </c>
    </row>
    <row r="39">
      <c r="B39" s="1" t="inlineStr">
        <is>
          <t xml:space="preserve">Put formula "=A8^0.5" into cell C28.</t>
        </is>
      </c>
      <c r="C39" s="3" t="inlineStr">
        <is>
          <t xml:space="preserve">OK</t>
        </is>
      </c>
    </row>
    <row r="40">
      <c r="B40" s="1" t="inlineStr">
        <is>
          <t xml:space="preserve">Put formula "=0^-1" into cell C29.</t>
        </is>
      </c>
      <c r="C40" s="3" t="inlineStr">
        <is>
          <t xml:space="preserve">OK</t>
        </is>
      </c>
    </row>
    <row r="41">
      <c r="B41" s="1" t="inlineStr">
        <is>
          <t xml:space="preserve">Put formula "=A2=7" into cell C30.</t>
        </is>
      </c>
      <c r="C41" s="3" t="inlineStr">
        <is>
          <t xml:space="preserve">OK</t>
        </is>
      </c>
    </row>
    <row r="42">
      <c r="B42" s="1" t="inlineStr">
        <is>
          <t xml:space="preserve">Put formula "=A1&lt;&gt;A4" into cell C31.</t>
        </is>
      </c>
      <c r="C42" s="3" t="inlineStr">
        <is>
          <t xml:space="preserve">OK</t>
        </is>
      </c>
    </row>
    <row r="44">
      <c r="B44" s="1" t="inlineStr">
        <is>
          <t xml:space="preserve">Work on sheet Logic.</t>
        </is>
      </c>
      <c r="C44" s="3" t="inlineStr">
        <is>
          <t xml:space="preserve">OK</t>
        </is>
      </c>
    </row>
    <row r="45">
      <c r="B45" s="1" t="inlineStr">
        <is>
          <t xml:space="preserve">Put 10 into cell A1.</t>
        </is>
      </c>
      <c r="C45" s="3" t="inlineStr">
        <is>
          <t xml:space="preserve">OK</t>
        </is>
      </c>
    </row>
    <row r="46">
      <c r="B46" s="1" t="inlineStr">
        <is>
          <t xml:space="preserve">Put 20 into cell A2.</t>
        </is>
      </c>
      <c r="C46" s="3" t="inlineStr">
        <is>
          <t xml:space="preserve">OK</t>
        </is>
      </c>
    </row>
    <row r="47">
      <c r="B47" s="1" t="inlineStr">
        <is>
          <t xml:space="preserve">Put "x" into cell A3.</t>
        </is>
      </c>
      <c r="C47" s="3" t="inlineStr">
        <is>
          <t xml:space="preserve">OK</t>
        </is>
      </c>
    </row>
    <row r="48">
      <c r="B48" s="1" t="inlineStr">
        <is>
          <t xml:space="preserve">Put formula "=TRUE" into cell A4.</t>
        </is>
      </c>
      <c r="C48" s="3" t="inlineStr">
        <is>
          <t xml:space="preserve">OK</t>
        </is>
      </c>
    </row>
    <row r="49">
      <c r="B49" s="1" t="inlineStr">
        <is>
          <t xml:space="preserve">Put 0 into cell A5.</t>
        </is>
      </c>
      <c r="C49" s="3" t="inlineStr">
        <is>
          <t xml:space="preserve">OK</t>
        </is>
      </c>
    </row>
    <row r="50">
      <c r="B50" s="1" t="inlineStr">
        <is>
          <t xml:space="preserve">Put "TRUE" into cell A6.</t>
        </is>
      </c>
      <c r="C50" s="3" t="inlineStr">
        <is>
          <t xml:space="preserve">OK</t>
        </is>
      </c>
    </row>
    <row r="51">
      <c r="B51" s="1" t="inlineStr">
        <is>
          <t xml:space="preserve">Put formula "=IF(A1&gt;5,""big"",""small"")" into cell C1.</t>
        </is>
      </c>
      <c r="C51" s="3" t="inlineStr">
        <is>
          <t xml:space="preserve">OK</t>
        </is>
      </c>
    </row>
    <row r="52">
      <c r="B52" s="1" t="inlineStr">
        <is>
          <t xml:space="preserve">Put formula "=IF(A5,1,2)" into cell C2.</t>
        </is>
      </c>
      <c r="C52" s="3" t="inlineStr">
        <is>
          <t xml:space="preserve">OK</t>
        </is>
      </c>
    </row>
    <row r="53">
      <c r="B53" s="1" t="inlineStr">
        <is>
          <t xml:space="preserve">Put formula "=IF(A3,1,2)" into cell C3.</t>
        </is>
      </c>
      <c r="C53" s="3" t="inlineStr">
        <is>
          <t xml:space="preserve">OK</t>
        </is>
      </c>
    </row>
    <row r="54">
      <c r="B54" s="1" t="inlineStr">
        <is>
          <t xml:space="preserve">Put formula "=IF(FALSE,1)" into cell C4.</t>
        </is>
      </c>
      <c r="C54" s="3" t="inlineStr">
        <is>
          <t xml:space="preserve">OK</t>
        </is>
      </c>
    </row>
    <row r="55">
      <c r="B55" s="1" t="inlineStr">
        <is>
          <t xml:space="preserve">Put formula "=IF(TRUE,,1)" into cell C5.</t>
        </is>
      </c>
      <c r="C55" s="3" t="inlineStr">
        <is>
          <t xml:space="preserve">OK</t>
        </is>
      </c>
    </row>
    <row r="56">
      <c r="B56" s="1" t="inlineStr">
        <is>
          <t xml:space="preserve">Put formula "=IF(A6,1,2)" into cell C6.</t>
        </is>
      </c>
      <c r="C56" s="3" t="inlineStr">
        <is>
          <t xml:space="preserve">OK</t>
        </is>
      </c>
    </row>
    <row r="57">
      <c r="B57" s="1" t="inlineStr">
        <is>
          <t xml:space="preserve">Put formula "=AND(A1&gt;5,A2&gt;5)" into cell C7.</t>
        </is>
      </c>
      <c r="C57" s="3" t="inlineStr">
        <is>
          <t xml:space="preserve">OK</t>
        </is>
      </c>
    </row>
    <row r="58">
      <c r="B58" s="1" t="inlineStr">
        <is>
          <t xml:space="preserve">Put formula "=AND(A1:A5)" into cell C8.</t>
        </is>
      </c>
      <c r="C58" s="3" t="inlineStr">
        <is>
          <t xml:space="preserve">OK</t>
        </is>
      </c>
    </row>
    <row r="59">
      <c r="B59" s="1" t="inlineStr">
        <is>
          <t xml:space="preserve">Put formula "=OR(A5,A3)" into cell C9.</t>
        </is>
      </c>
      <c r="C59" s="3" t="inlineStr">
        <is>
          <t xml:space="preserve">OK</t>
        </is>
      </c>
    </row>
    <row r="60">
      <c r="B60" s="1" t="inlineStr">
        <is>
          <t xml:space="preserve">Put formula "=OR(A5:A6,FALSE)" into cell C10.</t>
        </is>
      </c>
      <c r="C60" s="3" t="inlineStr">
        <is>
          <t xml:space="preserve">OK</t>
        </is>
      </c>
    </row>
    <row r="61">
      <c r="B61" s="1" t="inlineStr">
        <is>
          <t xml:space="preserve">Put formula "=NOT(A5)" into cell C11.</t>
        </is>
      </c>
      <c r="C61" s="3" t="inlineStr">
        <is>
          <t xml:space="preserve">OK</t>
        </is>
      </c>
    </row>
    <row r="62">
      <c r="B62" s="1" t="inlineStr">
        <is>
          <t xml:space="preserve">Put formula "=AND(A3)" into cell C12.</t>
        </is>
      </c>
      <c r="C62" s="3" t="inlineStr">
        <is>
          <t xml:space="preserve">OK</t>
        </is>
      </c>
    </row>
    <row r="63">
      <c r="B63" s="1" t="inlineStr">
        <is>
          <t xml:space="preserve">Put formula "=AND(A6)" into cell C13.</t>
        </is>
      </c>
      <c r="C63" s="3" t="inlineStr">
        <is>
          <t xml:space="preserve">OK</t>
        </is>
      </c>
    </row>
    <row r="64">
      <c r="B64" s="1" t="inlineStr">
        <is>
          <t xml:space="preserve">Put formula "=IFS(A1&gt;15,""big"",A1&gt;5,""mid"",TRUE,""small"")" into cell C14.</t>
        </is>
      </c>
      <c r="C64" s="3" t="inlineStr">
        <is>
          <t xml:space="preserve">OK</t>
        </is>
      </c>
    </row>
    <row r="65">
      <c r="B65" s="1" t="inlineStr">
        <is>
          <t xml:space="preserve">Put formula "=IFS(A1&gt;15,""big"")" into cell C15.</t>
        </is>
      </c>
      <c r="C65" s="3" t="inlineStr">
        <is>
          <t xml:space="preserve">OK</t>
        </is>
      </c>
    </row>
    <row r="66">
      <c r="B66" s="1" t="inlineStr">
        <is>
          <t xml:space="preserve">Put formula "=CHOOSE(2,""a"",""b"",""c"")" into cell C16.</t>
        </is>
      </c>
      <c r="C66" s="3" t="inlineStr">
        <is>
          <t xml:space="preserve">OK</t>
        </is>
      </c>
    </row>
    <row r="67">
      <c r="B67" s="1" t="inlineStr">
        <is>
          <t xml:space="preserve">Put formula "=CHOOSE(2.9,""a"",""b"",""c"")" into cell C17.</t>
        </is>
      </c>
      <c r="C67" s="3" t="inlineStr">
        <is>
          <t xml:space="preserve">OK</t>
        </is>
      </c>
    </row>
    <row r="68">
      <c r="B68" s="1" t="inlineStr">
        <is>
          <t xml:space="preserve">Put formula "=CHOOSE(0,""a"")" into cell C18.</t>
        </is>
      </c>
      <c r="C68" s="3" t="inlineStr">
        <is>
          <t xml:space="preserve">OK</t>
        </is>
      </c>
    </row>
    <row r="69">
      <c r="B69" s="1" t="inlineStr">
        <is>
          <t xml:space="preserve">Put formula "=ISNUMBER(A1)" into cell C19.</t>
        </is>
      </c>
      <c r="C69" s="3" t="inlineStr">
        <is>
          <t xml:space="preserve">OK</t>
        </is>
      </c>
    </row>
    <row r="70">
      <c r="B70" s="1" t="inlineStr">
        <is>
          <t xml:space="preserve">Put formula "=ISNUMBER(A3)" into cell C20.</t>
        </is>
      </c>
      <c r="C70" s="3" t="inlineStr">
        <is>
          <t xml:space="preserve">OK</t>
        </is>
      </c>
    </row>
    <row r="71">
      <c r="B71" s="1" t="inlineStr">
        <is>
          <t xml:space="preserve">Put formula "=ISNUMBER(1/0)" into cell C21.</t>
        </is>
      </c>
      <c r="C71" s="3" t="inlineStr">
        <is>
          <t xml:space="preserve">OK</t>
        </is>
      </c>
    </row>
    <row r="72">
      <c r="B72" s="1" t="inlineStr">
        <is>
          <t xml:space="preserve">Put formula "=ISBLANK(A9)" into cell C22.</t>
        </is>
      </c>
      <c r="C72" s="3" t="inlineStr">
        <is>
          <t xml:space="preserve">OK</t>
        </is>
      </c>
    </row>
    <row r="73">
      <c r="B73" s="1" t="inlineStr">
        <is>
          <t xml:space="preserve">Put formula "=ISBLANK(A1)" into cell C23.</t>
        </is>
      </c>
      <c r="C73" s="3" t="inlineStr">
        <is>
          <t xml:space="preserve">OK</t>
        </is>
      </c>
    </row>
    <row r="74">
      <c r="B74" s="1" t="inlineStr">
        <is>
          <t xml:space="preserve">Put formula "=ISNUMBER(A6)" into cell C24.</t>
        </is>
      </c>
      <c r="C74" s="3" t="inlineStr">
        <is>
          <t xml:space="preserve">OK</t>
        </is>
      </c>
    </row>
    <row r="75">
      <c r="B75" s="1" t="inlineStr">
        <is>
          <t xml:space="preserve">Put formula "=IF(1/0,1,2)" into cell C25.</t>
        </is>
      </c>
      <c r="C75" s="3" t="inlineStr">
        <is>
          <t xml:space="preserve">OK</t>
        </is>
      </c>
    </row>
    <row r="76">
      <c r="B76" s="1" t="inlineStr">
        <is>
          <t xml:space="preserve">Put formula "=AND(TRUE,1/0)" into cell C26.</t>
        </is>
      </c>
      <c r="C76" s="3" t="inlineStr">
        <is>
          <t xml:space="preserve">OK</t>
        </is>
      </c>
    </row>
    <row r="77">
      <c r="B77" s="1" t="inlineStr">
        <is>
          <t xml:space="preserve">Put formula "=IF(A1&gt;5,A1:A2,0)" into cell C27.</t>
        </is>
      </c>
      <c r="C77" s="3" t="inlineStr">
        <is>
          <t xml:space="preserve">OK</t>
        </is>
      </c>
    </row>
    <row r="79">
      <c r="B79" s="1" t="inlineStr">
        <is>
          <t xml:space="preserve">Work on sheet Math.</t>
        </is>
      </c>
      <c r="C79" s="3" t="inlineStr">
        <is>
          <t xml:space="preserve">OK</t>
        </is>
      </c>
    </row>
    <row r="80">
      <c r="B80" s="1" t="inlineStr">
        <is>
          <t xml:space="preserve">Put 10 into cell A1.</t>
        </is>
      </c>
      <c r="C80" s="3" t="inlineStr">
        <is>
          <t xml:space="preserve">OK</t>
        </is>
      </c>
    </row>
    <row r="81">
      <c r="B81" s="1" t="inlineStr">
        <is>
          <t xml:space="preserve">Put 20 into cell A2.</t>
        </is>
      </c>
      <c r="C81" s="3" t="inlineStr">
        <is>
          <t xml:space="preserve">OK</t>
        </is>
      </c>
    </row>
    <row r="82">
      <c r="B82" s="1" t="inlineStr">
        <is>
          <t xml:space="preserve">Put "x" into cell A3.</t>
        </is>
      </c>
      <c r="C82" s="3" t="inlineStr">
        <is>
          <t xml:space="preserve">OK</t>
        </is>
      </c>
    </row>
    <row r="83">
      <c r="B83" s="1" t="inlineStr">
        <is>
          <t xml:space="preserve">Put 30 into cell A4.</t>
        </is>
      </c>
      <c r="C83" s="3" t="inlineStr">
        <is>
          <t xml:space="preserve">OK</t>
        </is>
      </c>
    </row>
    <row r="84">
      <c r="B84" s="1" t="inlineStr">
        <is>
          <t xml:space="preserve">Put formula "=TRUE" into cell A6.</t>
        </is>
      </c>
      <c r="C84" s="3" t="inlineStr">
        <is>
          <t xml:space="preserve">OK</t>
        </is>
      </c>
    </row>
    <row r="85">
      <c r="B85" s="1" t="inlineStr">
        <is>
          <t xml:space="preserve">Put 1 into cell B1.</t>
        </is>
      </c>
      <c r="C85" s="3" t="inlineStr">
        <is>
          <t xml:space="preserve">OK</t>
        </is>
      </c>
    </row>
    <row r="86">
      <c r="B86" s="1" t="inlineStr">
        <is>
          <t xml:space="preserve">Put 2 into cell B2.</t>
        </is>
      </c>
      <c r="C86" s="3" t="inlineStr">
        <is>
          <t xml:space="preserve">OK</t>
        </is>
      </c>
    </row>
    <row r="87">
      <c r="B87" s="1" t="inlineStr">
        <is>
          <t xml:space="preserve">Put 4 into cell B4.</t>
        </is>
      </c>
      <c r="C87" s="3" t="inlineStr">
        <is>
          <t xml:space="preserve">OK</t>
        </is>
      </c>
    </row>
    <row r="88">
      <c r="B88" s="1" t="inlineStr">
        <is>
          <t xml:space="preserve">Put formula "=SUM(A1:A6)" into cell C1.</t>
        </is>
      </c>
      <c r="C88" s="3" t="inlineStr">
        <is>
          <t xml:space="preserve">OK</t>
        </is>
      </c>
    </row>
    <row r="89">
      <c r="B89" s="1" t="inlineStr">
        <is>
          <t xml:space="preserve">Put formula "=SUM(A1,""5"",TRUE)" into cell C2.</t>
        </is>
      </c>
      <c r="C89" s="3" t="inlineStr">
        <is>
          <t xml:space="preserve">OK</t>
        </is>
      </c>
    </row>
    <row r="90">
      <c r="B90" s="1" t="inlineStr">
        <is>
          <t xml:space="preserve">Put formula "=SUM(A3)" into cell C3.</t>
        </is>
      </c>
      <c r="C90" s="3" t="inlineStr">
        <is>
          <t xml:space="preserve">OK</t>
        </is>
      </c>
    </row>
    <row r="91">
      <c r="B91" s="1" t="inlineStr">
        <is>
          <t xml:space="preserve">Put formula "=SUM(""x"")" into cell C4.</t>
        </is>
      </c>
      <c r="C91" s="3" t="inlineStr">
        <is>
          <t xml:space="preserve">OK</t>
        </is>
      </c>
    </row>
    <row r="92">
      <c r="B92" s="1" t="inlineStr">
        <is>
          <t xml:space="preserve">Put formula "=MIN(A1:A6)" into cell C5.</t>
        </is>
      </c>
      <c r="C92" s="3" t="inlineStr">
        <is>
          <t xml:space="preserve">OK</t>
        </is>
      </c>
    </row>
    <row r="93">
      <c r="B93" s="1" t="inlineStr">
        <is>
          <t xml:space="preserve">Put formula "=MAX(A1:A6)" into cell C6.</t>
        </is>
      </c>
      <c r="C93" s="3" t="inlineStr">
        <is>
          <t xml:space="preserve">OK</t>
        </is>
      </c>
    </row>
    <row r="94">
      <c r="B94" s="1" t="inlineStr">
        <is>
          <t xml:space="preserve">Put formula "=MIN(A3)" into cell C7.</t>
        </is>
      </c>
      <c r="C94" s="3" t="inlineStr">
        <is>
          <t xml:space="preserve">OK</t>
        </is>
      </c>
    </row>
    <row r="95">
      <c r="B95" s="1" t="inlineStr">
        <is>
          <t xml:space="preserve">Put formula "=AVERAGE(A1:A6)" into cell C8.</t>
        </is>
      </c>
      <c r="C95" s="3" t="inlineStr">
        <is>
          <t xml:space="preserve">OK</t>
        </is>
      </c>
    </row>
    <row r="96">
      <c r="B96" s="1" t="inlineStr">
        <is>
          <t xml:space="preserve">Put formula "=AVERAGE(A3)" into cell C9.</t>
        </is>
      </c>
      <c r="C96" s="3" t="inlineStr">
        <is>
          <t xml:space="preserve">OK</t>
        </is>
      </c>
    </row>
    <row r="97">
      <c r="B97" s="1" t="inlineStr">
        <is>
          <t xml:space="preserve">Put formula "=ABS(-3.5)" into cell C10.</t>
        </is>
      </c>
      <c r="C97" s="3" t="inlineStr">
        <is>
          <t xml:space="preserve">OK</t>
        </is>
      </c>
    </row>
    <row r="98">
      <c r="B98" s="1" t="inlineStr">
        <is>
          <t xml:space="preserve">Put formula "=INT(-1.5)" into cell C11.</t>
        </is>
      </c>
      <c r="C98" s="3" t="inlineStr">
        <is>
          <t xml:space="preserve">OK</t>
        </is>
      </c>
    </row>
    <row r="99">
      <c r="B99" s="1" t="inlineStr">
        <is>
          <t xml:space="preserve">Put formula "=INT(1.5)" into cell C12.</t>
        </is>
      </c>
      <c r="C99" s="3" t="inlineStr">
        <is>
          <t xml:space="preserve">OK</t>
        </is>
      </c>
    </row>
    <row r="100">
      <c r="B100" s="1" t="inlineStr">
        <is>
          <t xml:space="preserve">Put formula "=MOD(-7,3)" into cell C13.</t>
        </is>
      </c>
      <c r="C100" s="3" t="inlineStr">
        <is>
          <t xml:space="preserve">OK</t>
        </is>
      </c>
    </row>
    <row r="101">
      <c r="B101" s="1" t="inlineStr">
        <is>
          <t xml:space="preserve">Put formula "=MOD(7,-3)" into cell C14.</t>
        </is>
      </c>
      <c r="C101" s="3" t="inlineStr">
        <is>
          <t xml:space="preserve">OK</t>
        </is>
      </c>
    </row>
    <row r="102">
      <c r="B102" s="1" t="inlineStr">
        <is>
          <t xml:space="preserve">Put formula "=MOD(7,0)" into cell C15.</t>
        </is>
      </c>
      <c r="C102" s="3" t="inlineStr">
        <is>
          <t xml:space="preserve">OK</t>
        </is>
      </c>
    </row>
    <row r="103">
      <c r="B103" s="1" t="inlineStr">
        <is>
          <t xml:space="preserve">Put formula "=MOD(5.5,2)" into cell C16.</t>
        </is>
      </c>
      <c r="C103" s="3" t="inlineStr">
        <is>
          <t xml:space="preserve">OK</t>
        </is>
      </c>
    </row>
    <row r="104">
      <c r="B104" s="1" t="inlineStr">
        <is>
          <t xml:space="preserve">Put formula "=ROUND(2.675,2)" into cell C17.</t>
        </is>
      </c>
      <c r="C104" s="3" t="inlineStr">
        <is>
          <t xml:space="preserve">OK</t>
        </is>
      </c>
    </row>
    <row r="105">
      <c r="B105" s="1" t="inlineStr">
        <is>
          <t xml:space="preserve">Put formula "=ROUND(-2.5,0)" into cell C18.</t>
        </is>
      </c>
      <c r="C105" s="3" t="inlineStr">
        <is>
          <t xml:space="preserve">OK</t>
        </is>
      </c>
    </row>
    <row r="106">
      <c r="B106" s="1" t="inlineStr">
        <is>
          <t xml:space="preserve">Put formula "=ROUND(1234.5678,-2)" into cell C19.</t>
        </is>
      </c>
      <c r="C106" s="3" t="inlineStr">
        <is>
          <t xml:space="preserve">OK</t>
        </is>
      </c>
    </row>
    <row r="107">
      <c r="B107" s="1" t="inlineStr">
        <is>
          <t xml:space="preserve">Put formula "=ROUND(1.234,1.9)" into cell C20.</t>
        </is>
      </c>
      <c r="C107" s="3" t="inlineStr">
        <is>
          <t xml:space="preserve">OK</t>
        </is>
      </c>
    </row>
    <row r="108">
      <c r="B108" s="1" t="inlineStr">
        <is>
          <t xml:space="preserve">Put formula "=ROUND(0.5,0)" into cell C21.</t>
        </is>
      </c>
      <c r="C108" s="3" t="inlineStr">
        <is>
          <t xml:space="preserve">OK</t>
        </is>
      </c>
    </row>
    <row r="109">
      <c r="B109" s="1" t="inlineStr">
        <is>
          <t xml:space="preserve">Put formula "=ROUND(1.005,2)" into cell C22.</t>
        </is>
      </c>
      <c r="C109" s="3" t="inlineStr">
        <is>
          <t xml:space="preserve">OK</t>
        </is>
      </c>
    </row>
    <row r="110">
      <c r="B110" s="1" t="inlineStr">
        <is>
          <t xml:space="preserve">Put formula "=ROW()" into cell C23.</t>
        </is>
      </c>
      <c r="C110" s="3" t="inlineStr">
        <is>
          <t xml:space="preserve">OK</t>
        </is>
      </c>
    </row>
    <row r="111">
      <c r="B111" s="1" t="inlineStr">
        <is>
          <t xml:space="preserve">Put formula "=COLUMN()" into cell C24.</t>
        </is>
      </c>
      <c r="C111" s="3" t="inlineStr">
        <is>
          <t xml:space="preserve">OK</t>
        </is>
      </c>
    </row>
    <row r="112">
      <c r="B112" s="1" t="inlineStr">
        <is>
          <t xml:space="preserve">Put formula "=ROW(A4)" into cell C25.</t>
        </is>
      </c>
      <c r="C112" s="3" t="inlineStr">
        <is>
          <t xml:space="preserve">OK</t>
        </is>
      </c>
    </row>
    <row r="113">
      <c r="B113" s="1" t="inlineStr">
        <is>
          <t xml:space="preserve">Put formula "=COLUMN(B1:C2)" into cell C26.</t>
        </is>
      </c>
      <c r="C113" s="3" t="inlineStr">
        <is>
          <t xml:space="preserve">OK</t>
        </is>
      </c>
    </row>
    <row r="114">
      <c r="B114" s="1" t="inlineStr">
        <is>
          <t xml:space="preserve">Put formula "=SIN(0)" into cell C27.</t>
        </is>
      </c>
      <c r="C114" s="3" t="inlineStr">
        <is>
          <t xml:space="preserve">OK</t>
        </is>
      </c>
    </row>
    <row r="115">
      <c r="B115" s="1" t="inlineStr">
        <is>
          <t xml:space="preserve">Put formula "=SIN(1)" into cell C28.</t>
        </is>
      </c>
      <c r="C115" s="3" t="inlineStr">
        <is>
          <t xml:space="preserve">OK</t>
        </is>
      </c>
    </row>
    <row r="116">
      <c r="B116" s="1" t="inlineStr">
        <is>
          <t xml:space="preserve">Put formula "=SUMIF(A1:A6,""&gt;15"")" into cell C29.</t>
        </is>
      </c>
      <c r="C116" s="3" t="inlineStr">
        <is>
          <t xml:space="preserve">OK</t>
        </is>
      </c>
    </row>
    <row r="117">
      <c r="B117" s="1" t="inlineStr">
        <is>
          <t xml:space="preserve">Put formula "=SUMIF(A1:A6,""&gt;15"",B1:B6)" into cell C30.</t>
        </is>
      </c>
      <c r="C117" s="3" t="inlineStr">
        <is>
          <t xml:space="preserve">OK</t>
        </is>
      </c>
    </row>
    <row r="118">
      <c r="B118" s="1" t="inlineStr">
        <is>
          <t xml:space="preserve">Put formula "=COUNTIF(A1:A6,""&gt;15"")" into cell C31.</t>
        </is>
      </c>
      <c r="C118" s="3" t="inlineStr">
        <is>
          <t xml:space="preserve">OK</t>
        </is>
      </c>
    </row>
    <row r="119">
      <c r="B119" s="1" t="inlineStr">
        <is>
          <t xml:space="preserve">Put formula "=COUNTIF(A1:A6,""x"")" into cell C32.</t>
        </is>
      </c>
      <c r="C119" s="3" t="inlineStr">
        <is>
          <t xml:space="preserve">OK</t>
        </is>
      </c>
    </row>
    <row r="120">
      <c r="B120" s="1" t="inlineStr">
        <is>
          <t xml:space="preserve">Put formula "=COUNTIF(A1:A8,"""")" into cell C33.</t>
        </is>
      </c>
      <c r="C120" s="3" t="inlineStr">
        <is>
          <t xml:space="preserve">OK</t>
        </is>
      </c>
    </row>
    <row r="121">
      <c r="B121" s="1" t="inlineStr">
        <is>
          <t xml:space="preserve">Put formula "=COUNTIF(A1:A6,""&lt;&gt;10"")" into cell C34.</t>
        </is>
      </c>
      <c r="C121" s="3" t="inlineStr">
        <is>
          <t xml:space="preserve">OK</t>
        </is>
      </c>
    </row>
    <row r="122">
      <c r="B122" s="1" t="inlineStr">
        <is>
          <t xml:space="preserve">Put formula "=COUNTIF(A1:A6,""*"")" into cell C35.</t>
        </is>
      </c>
      <c r="C122" s="3" t="inlineStr">
        <is>
          <t xml:space="preserve">OK</t>
        </is>
      </c>
    </row>
    <row r="123">
      <c r="B123" s="1" t="inlineStr">
        <is>
          <t xml:space="preserve">Put formula "=COUNTIF(A1:A6,10)" into cell C36.</t>
        </is>
      </c>
      <c r="C123" s="3" t="inlineStr">
        <is>
          <t xml:space="preserve">OK</t>
        </is>
      </c>
    </row>
    <row r="124">
      <c r="B124" s="1" t="inlineStr">
        <is>
          <t xml:space="preserve">Put formula "=COUNTIF(A1:A6,TRUE)" into cell C37.</t>
        </is>
      </c>
      <c r="C124" s="3" t="inlineStr">
        <is>
          <t xml:space="preserve">OK</t>
        </is>
      </c>
    </row>
    <row r="125">
      <c r="B125" s="1" t="inlineStr">
        <is>
          <t xml:space="preserve">Put formula "=SUMIF(A1:A6,""x"",B1:B6)" into cell C38.</t>
        </is>
      </c>
      <c r="C125" s="3" t="inlineStr">
        <is>
          <t xml:space="preserve">OK</t>
        </is>
      </c>
    </row>
    <row r="126">
      <c r="B126" s="1" t="inlineStr">
        <is>
          <t xml:space="preserve">Put formula "=COUNTIF(B1:B4,""&lt;&gt;"")" into cell C39.</t>
        </is>
      </c>
      <c r="C126" s="3" t="inlineStr">
        <is>
          <t xml:space="preserve">OK</t>
        </is>
      </c>
    </row>
    <row r="127">
      <c r="B127" s="1" t="inlineStr">
        <is>
          <t xml:space="preserve">Put formula "=SUM(Output!A1,logic!A1)" into cell C40.</t>
        </is>
      </c>
      <c r="C127" s="3" t="inlineStr">
        <is>
          <t xml:space="preserve">OK</t>
        </is>
      </c>
    </row>
    <row r="128">
      <c r="B128" s="1" t="inlineStr">
        <is>
          <t xml:space="preserve">Put formula "=SUM(Output:logic!A1)" into cell C41.</t>
        </is>
      </c>
      <c r="C128" s="3" t="inlineStr">
        <is>
          <t xml:space="preserve">OK</t>
        </is>
      </c>
    </row>
    <row r="129">
      <c r="B129" s="1" t="inlineStr">
        <is>
          <t xml:space="preserve">Put formula "=VLOOKUP(10,A1:B2,2)" into cell C42.</t>
        </is>
      </c>
      <c r="C129" s="3" t="inlineStr">
        <is>
          <t xml:space="preserve">OK</t>
        </is>
      </c>
    </row>
    <row r="130">
      <c r="B130" s="1" t="inlineStr">
        <is>
          <t xml:space="preserve">Put formula "=CONCATENATE(""a"",""b"")" into cell C43.</t>
        </is>
      </c>
      <c r="C130" s="3" t="inlineStr">
        <is>
          <t xml:space="preserve">OK</t>
        </is>
      </c>
    </row>
    <row r="131">
      <c r="B131" s="1" t="inlineStr">
        <is>
          <t xml:space="preserve">Put formula "=C42+1" into cell C44.</t>
        </is>
      </c>
      <c r="C131" s="3" t="inlineStr">
        <is>
          <t xml:space="preserve">OK</t>
        </is>
      </c>
    </row>
    <row r="132">
      <c r="B132" s="1" t="inlineStr">
        <is>
          <t xml:space="preserve">Put formula "=SUM(C1:C3)" into cell C45.</t>
        </is>
      </c>
      <c r="C132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selection activeCell="A1" sqref="A1"/>
    </sheetView>
  </sheetViews>
  <sheetFormatPr defaultRowHeight="15"/>
  <sheetData>
    <row r="1">
      <c r="A1" s="0">
        <v>5</v>
      </c>
      <c r="C1" s="0">
        <f>A1+A2</f>
      </c>
    </row>
    <row r="2">
      <c r="A2" s="0" t="inlineStr">
        <is>
          <t xml:space="preserve">7</t>
        </is>
      </c>
      <c r="C2" s="0">
        <f>A1+A3</f>
      </c>
    </row>
    <row r="3">
      <c r="A3" s="0">
        <f>TRUE</f>
      </c>
      <c r="C3" s="0">
        <f>A1+A4</f>
      </c>
    </row>
    <row r="4">
      <c r="C4" s="0">
        <f>A1+A5</f>
      </c>
    </row>
    <row r="5">
      <c r="A5" s="0" t="inlineStr">
        <is>
          <t xml:space="preserve">abc</t>
        </is>
      </c>
      <c r="C5" s="0">
        <f>A1&amp;A2</f>
      </c>
    </row>
    <row r="6">
      <c r="A6" s="0">
        <v>0.1</v>
      </c>
      <c r="C6" s="0">
        <f>A6+A7&amp;""</f>
      </c>
    </row>
    <row r="7">
      <c r="A7" s="0">
        <v>0.2</v>
      </c>
      <c r="C7" s="0">
        <f>A3&amp;""</f>
      </c>
    </row>
    <row r="8">
      <c r="A8" s="0">
        <v>-2</v>
      </c>
      <c r="C8" s="0">
        <f>A1=A2</f>
      </c>
    </row>
    <row r="9">
      <c r="C9" s="0">
        <f>A1&lt;A5</f>
      </c>
    </row>
    <row r="10">
      <c r="C10" s="0">
        <f>A3&gt;A5</f>
      </c>
    </row>
    <row r="11">
      <c r="C11" s="0">
        <f>"ABC"="abc"</f>
      </c>
    </row>
    <row r="12">
      <c r="C12" s="0">
        <f>A4=0</f>
      </c>
    </row>
    <row r="13">
      <c r="C13" s="0">
        <f>A4=""</f>
      </c>
    </row>
    <row r="14">
      <c r="C14" s="0">
        <f>-A8^2</f>
      </c>
    </row>
    <row r="15">
      <c r="C15" s="0">
        <f>2^3^2</f>
      </c>
    </row>
    <row r="16">
      <c r="C16" s="0">
        <f>A1/A4</f>
      </c>
    </row>
    <row r="17">
      <c r="C17" s="0">
        <f>0^0</f>
      </c>
    </row>
    <row r="18">
      <c r="C18" s="0">
        <f>50%</f>
      </c>
    </row>
    <row r="19">
      <c r="C19" s="0">
        <f>A2*2</f>
      </c>
    </row>
    <row r="20">
      <c r="C20" s="0">
        <f>1/3&amp;""</f>
      </c>
    </row>
    <row r="21">
      <c r="C21" s="0">
        <f>0.0000001&amp;""</f>
      </c>
    </row>
    <row r="22">
      <c r="C22" s="0">
        <f>10^21&amp;""</f>
      </c>
    </row>
    <row r="23">
      <c r="C23" s="0">
        <f>10^20&amp;""</f>
      </c>
    </row>
    <row r="24">
      <c r="C24" s="0">
        <f>-"5"</f>
      </c>
    </row>
    <row r="25">
      <c r="C25" s="0">
        <f>+"5"</f>
      </c>
    </row>
    <row r="26">
      <c r="C26" s="0">
        <f>1E307*100</f>
      </c>
    </row>
    <row r="27">
      <c r="C27" s="0">
        <f>(1=1)+1</f>
      </c>
    </row>
    <row r="28">
      <c r="C28" s="0">
        <f>A8^0.5</f>
      </c>
    </row>
    <row r="29">
      <c r="C29" s="0">
        <f>0^-1</f>
      </c>
    </row>
    <row r="30">
      <c r="C30" s="0">
        <f>A2=7</f>
      </c>
    </row>
    <row r="31">
      <c r="C31" s="0">
        <f>A1&lt;&gt;A4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A1" sqref="A1"/>
    </sheetView>
  </sheetViews>
  <sheetFormatPr defaultRowHeight="15"/>
  <sheetData>
    <row r="1">
      <c r="A1" s="0">
        <v>10</v>
      </c>
      <c r="C1" s="0">
        <f>IF(A1&gt;5,"big","small")</f>
      </c>
    </row>
    <row r="2">
      <c r="A2" s="0">
        <v>20</v>
      </c>
      <c r="C2" s="0">
        <f>IF(A5,1,2)</f>
      </c>
    </row>
    <row r="3">
      <c r="A3" s="0" t="inlineStr">
        <is>
          <t xml:space="preserve">x</t>
        </is>
      </c>
      <c r="C3" s="0">
        <f>IF(A3,1,2)</f>
      </c>
    </row>
    <row r="4">
      <c r="A4" s="0">
        <f>TRUE</f>
      </c>
      <c r="C4" s="0">
        <f>IF(FALSE,1)</f>
      </c>
    </row>
    <row r="5">
      <c r="A5" s="0">
        <v>0</v>
      </c>
      <c r="C5" s="0">
        <f>IF(TRUE,,1)</f>
      </c>
    </row>
    <row r="6">
      <c r="A6" s="0" t="inlineStr">
        <is>
          <t xml:space="preserve">TRUE</t>
        </is>
      </c>
      <c r="C6" s="0">
        <f>IF(A6,1,2)</f>
      </c>
    </row>
    <row r="7">
      <c r="C7" s="0">
        <f>AND(A1&gt;5,A2&gt;5)</f>
      </c>
    </row>
    <row r="8">
      <c r="C8" s="0">
        <f>AND(A1:A5)</f>
      </c>
    </row>
    <row r="9">
      <c r="C9" s="0">
        <f>OR(A5,A3)</f>
      </c>
    </row>
    <row r="10">
      <c r="C10" s="0">
        <f>OR(A5:A6,FALSE)</f>
      </c>
    </row>
    <row r="11">
      <c r="C11" s="0">
        <f>NOT(A5)</f>
      </c>
    </row>
    <row r="12">
      <c r="C12" s="0">
        <f>AND(A3)</f>
      </c>
    </row>
    <row r="13">
      <c r="C13" s="0">
        <f>AND(A6)</f>
      </c>
    </row>
    <row r="14">
      <c r="C14" s="0" cm="1">
        <f t="array" ref="C14">_xlfn.IFS(A1&gt;15,"big",A1&gt;5,"mid",TRUE,"small")</f>
      </c>
    </row>
    <row r="15">
      <c r="C15" s="0" cm="1">
        <f t="array" ref="C15">_xlfn.IFS(A1&gt;15,"big")</f>
      </c>
    </row>
    <row r="16">
      <c r="C16" s="0" cm="1">
        <f t="array" ref="C16">CHOOSE(2,"a","b","c")</f>
      </c>
    </row>
    <row r="17">
      <c r="C17" s="0" cm="1">
        <f t="array" ref="C17">CHOOSE(2.9,"a","b","c")</f>
      </c>
    </row>
    <row r="18">
      <c r="C18" s="0" cm="1">
        <f t="array" ref="C18">CHOOSE(0,"a")</f>
      </c>
    </row>
    <row r="19">
      <c r="C19" s="0">
        <f>ISNUMBER(A1)</f>
      </c>
    </row>
    <row r="20">
      <c r="C20" s="0">
        <f>ISNUMBER(A3)</f>
      </c>
    </row>
    <row r="21">
      <c r="C21" s="0">
        <f>ISNUMBER(1/0)</f>
      </c>
    </row>
    <row r="22">
      <c r="C22" s="0">
        <f>ISBLANK(A9)</f>
      </c>
    </row>
    <row r="23">
      <c r="C23" s="0">
        <f>ISBLANK(A1)</f>
      </c>
    </row>
    <row r="24">
      <c r="C24" s="0">
        <f>ISNUMBER(A6)</f>
      </c>
    </row>
    <row r="25">
      <c r="C25" s="0">
        <f>IF(1/0,1,2)</f>
      </c>
    </row>
    <row r="26">
      <c r="C26" s="0">
        <f>AND(TRUE,1/0)</f>
      </c>
    </row>
    <row r="27">
      <c r="C27" s="0">
        <f>IF(A1&gt;5,A1:A2,0)</f>
      </c>
    </row>
  </sheetData>
</worksheet>
</file>

<file path=xl/worksheets/frazaro_4.xml><?xml version="1.0" encoding="utf-8"?>
<worksheet xmlns="http://schemas.openxmlformats.org/spreadsheetml/2006/main" xmlns:r="http://schemas.openxmlformats.org/officeDocument/2006/relationships">
  <dimension ref="A1:C45"/>
  <sheetViews>
    <sheetView workbookViewId="0">
      <selection activeCell="A1" sqref="A1"/>
    </sheetView>
  </sheetViews>
  <sheetFormatPr defaultRowHeight="15"/>
  <sheetData>
    <row r="1">
      <c r="A1" s="0">
        <v>10</v>
      </c>
      <c r="B1" s="0">
        <v>1</v>
      </c>
      <c r="C1" s="0">
        <f>SUM(A1:A6)</f>
      </c>
    </row>
    <row r="2">
      <c r="A2" s="0">
        <v>20</v>
      </c>
      <c r="B2" s="0">
        <v>2</v>
      </c>
      <c r="C2" s="0">
        <f>SUM(A1,"5",TRUE)</f>
      </c>
    </row>
    <row r="3">
      <c r="A3" s="0" t="inlineStr">
        <is>
          <t xml:space="preserve">x</t>
        </is>
      </c>
      <c r="C3" s="0">
        <f>SUM(A3)</f>
      </c>
    </row>
    <row r="4">
      <c r="A4" s="0">
        <v>30</v>
      </c>
      <c r="B4" s="0">
        <v>4</v>
      </c>
      <c r="C4" s="0">
        <f>SUM("x")</f>
      </c>
    </row>
    <row r="5">
      <c r="C5" s="0">
        <f>MIN(A1:A6)</f>
      </c>
    </row>
    <row r="6">
      <c r="A6" s="0">
        <f>TRUE</f>
      </c>
      <c r="C6" s="0">
        <f>MAX(A1:A6)</f>
      </c>
    </row>
    <row r="7">
      <c r="C7" s="0">
        <f>MIN(A3)</f>
      </c>
    </row>
    <row r="8">
      <c r="C8" s="0">
        <f>AVERAGE(A1:A6)</f>
      </c>
    </row>
    <row r="9">
      <c r="C9" s="0">
        <f>AVERAGE(A3)</f>
      </c>
    </row>
    <row r="10">
      <c r="C10" s="0">
        <f>ABS(-3.5)</f>
      </c>
    </row>
    <row r="11">
      <c r="C11" s="0">
        <f>INT(-1.5)</f>
      </c>
    </row>
    <row r="12">
      <c r="C12" s="0">
        <f>INT(1.5)</f>
      </c>
    </row>
    <row r="13">
      <c r="C13" s="0">
        <f>MOD(-7,3)</f>
      </c>
    </row>
    <row r="14">
      <c r="C14" s="0">
        <f>MOD(7,-3)</f>
      </c>
    </row>
    <row r="15">
      <c r="C15" s="0">
        <f>MOD(7,0)</f>
      </c>
    </row>
    <row r="16">
      <c r="C16" s="0">
        <f>MOD(5.5,2)</f>
      </c>
    </row>
    <row r="17">
      <c r="C17" s="0">
        <f>ROUND(2.675,2)</f>
      </c>
    </row>
    <row r="18">
      <c r="C18" s="0">
        <f>ROUND(-2.5,0)</f>
      </c>
    </row>
    <row r="19">
      <c r="C19" s="0">
        <f>ROUND(1234.5678,-2)</f>
      </c>
    </row>
    <row r="20">
      <c r="C20" s="0">
        <f>ROUND(1.234,1.9)</f>
      </c>
    </row>
    <row r="21">
      <c r="C21" s="0">
        <f>ROUND(0.5,0)</f>
      </c>
    </row>
    <row r="22">
      <c r="C22" s="0">
        <f>ROUND(1.005,2)</f>
      </c>
    </row>
    <row r="23">
      <c r="C23" s="0">
        <f>ROW()</f>
      </c>
    </row>
    <row r="24">
      <c r="C24" s="0">
        <f>COLUMN()</f>
      </c>
    </row>
    <row r="25">
      <c r="C25" s="0">
        <f>ROW(A4)</f>
      </c>
    </row>
    <row r="26">
      <c r="C26" s="0">
        <f>COLUMN(B1:C2)</f>
      </c>
    </row>
    <row r="27">
      <c r="C27" s="0">
        <f>SIN(0)</f>
      </c>
    </row>
    <row r="28">
      <c r="C28" s="0">
        <f>SIN(1)</f>
      </c>
    </row>
    <row r="29">
      <c r="C29" s="0">
        <f>SUMIF(A1:A6,"&gt;15")</f>
      </c>
    </row>
    <row r="30">
      <c r="C30" s="0">
        <f>SUMIF(A1:A6,"&gt;15",B1:B6)</f>
      </c>
    </row>
    <row r="31">
      <c r="C31" s="0">
        <f>COUNTIF(A1:A6,"&gt;15")</f>
      </c>
    </row>
    <row r="32">
      <c r="C32" s="0">
        <f>COUNTIF(A1:A6,"x")</f>
      </c>
    </row>
    <row r="33">
      <c r="C33" s="0">
        <f>COUNTIF(A1:A8,"")</f>
      </c>
    </row>
    <row r="34">
      <c r="C34" s="0">
        <f>COUNTIF(A1:A6,"&lt;&gt;10")</f>
      </c>
    </row>
    <row r="35">
      <c r="C35" s="0">
        <f>COUNTIF(A1:A6,"*")</f>
      </c>
    </row>
    <row r="36">
      <c r="C36" s="0">
        <f>COUNTIF(A1:A6,10)</f>
      </c>
    </row>
    <row r="37">
      <c r="C37" s="0">
        <f>COUNTIF(A1:A6,TRUE)</f>
      </c>
    </row>
    <row r="38">
      <c r="C38" s="0">
        <f>SUMIF(A1:A6,"x",B1:B6)</f>
      </c>
    </row>
    <row r="39">
      <c r="C39" s="0">
        <f>COUNTIF(B1:B4,"&lt;&gt;")</f>
      </c>
    </row>
    <row r="40">
      <c r="C40" s="0">
        <f>SUM(Output!A1,logic!A1)</f>
      </c>
    </row>
    <row r="41">
      <c r="C41" s="0">
        <f>SUM(Output:logic!A1)</f>
      </c>
    </row>
    <row r="42">
      <c r="C42" s="0">
        <f>VLOOKUP(10,A1:B2,2)</f>
      </c>
    </row>
    <row r="43">
      <c r="C43" s="0">
        <f>CONCATENATE("a","b")</f>
      </c>
    </row>
    <row r="44">
      <c r="C44" s="0">
        <f>C42+1</f>
      </c>
    </row>
    <row r="45">
      <c r="C45" s="0">
        <f>SUM(C1:C3)</f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