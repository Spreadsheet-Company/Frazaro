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\Documents\Code\VLA\Delta\Frazaro\scripts\recalc\"/>
    </mc:Choice>
  </mc:AlternateContent>
  <xr:revisionPtr revIDLastSave="0" documentId="8_{530A00BD-9498-4950-86A0-216C65A95B35}" xr6:coauthVersionLast="47" xr6:coauthVersionMax="47" xr10:uidLastSave="{00000000-0000-0000-0000-000000000000}"/>
  <bookViews>
    <workbookView xWindow="840" yWindow="290" windowWidth="15970" windowHeight="17950" activeTab="3" xr2:uid="{00000000-000D-0000-FFFF-FFFF00000000}"/>
  </bookViews>
  <sheets>
    <sheet name="Frazaro" sheetId="1" r:id="rId1"/>
    <sheet name="data" sheetId="2" r:id="rId2"/>
    <sheet name="far" sheetId="3" r:id="rId3"/>
    <sheet name="functions" sheetId="4" r:id="rId4"/>
  </sheets>
  <definedNames>
    <definedName name="Frazaro.Build">_xlfn._LONGTEXT("Frazaro 0.10.1; sentences sha256:138075AC550A1B633D15EC6AE2C614120C6BB0306A1E45164285D1C86375FAAA over 16696 non-whitespace bytes; prelude sha256:887F55C46AA71563EE5DE0F74E3D4DB1C0022986248AD1FBF8A7A63711AC508C over 27033 non-whitespace bytes; phrasebook ","1 sha256:5E5FF4121AA83D783E926C1A78B8E8C7C45BFE1E1184340F8D93A0285DDCB949 over 167902 non-whitespace bytes")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9" i="4" l="1"/>
  <c r="A218" i="4"/>
  <c r="A216" i="4"/>
  <c r="A213" i="4"/>
  <c r="A211" i="4"/>
  <c r="A210" i="4"/>
  <c r="A209" i="4"/>
  <c r="A208" i="4"/>
  <c r="A206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6" i="4"/>
  <c r="A184" i="4"/>
  <c r="A182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7" i="4"/>
  <c r="A146" i="4"/>
  <c r="A145" i="4"/>
  <c r="A144" i="4"/>
  <c r="A143" i="4"/>
  <c r="A142" i="4"/>
  <c r="A141" i="4"/>
  <c r="A140" i="4"/>
  <c r="A137" i="4"/>
  <c r="A136" i="4"/>
  <c r="A135" i="4"/>
  <c r="A134" i="4"/>
  <c r="A133" i="4"/>
  <c r="A132" i="4"/>
  <c r="A129" i="4"/>
  <c r="A128" i="4"/>
  <c r="A127" i="4"/>
  <c r="A126" i="4"/>
  <c r="A125" i="4"/>
  <c r="A124" i="4"/>
  <c r="A123" i="4"/>
  <c r="A121" i="4"/>
  <c r="A120" i="4"/>
  <c r="A119" i="4"/>
  <c r="A118" i="4"/>
  <c r="A117" i="4"/>
  <c r="A116" i="4"/>
  <c r="A115" i="4"/>
  <c r="A114" i="4"/>
  <c r="A113" i="4"/>
  <c r="A111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89" i="4"/>
  <c r="A88" i="4"/>
  <c r="A87" i="4"/>
  <c r="A85" i="4"/>
  <c r="A84" i="4"/>
  <c r="A83" i="4"/>
  <c r="A82" i="4"/>
  <c r="A81" i="4"/>
  <c r="A80" i="4"/>
  <c r="A79" i="4"/>
  <c r="A74" i="4"/>
  <c r="A73" i="4"/>
  <c r="A71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2" i="4"/>
  <c r="A11" i="4"/>
  <c r="A9" i="4"/>
  <c r="A8" i="4"/>
  <c r="A6" i="4"/>
  <c r="A5" i="4"/>
  <c r="A4" i="4"/>
  <c r="A3" i="4"/>
  <c r="A1" i="4"/>
  <c r="G8" i="2"/>
  <c r="F7" i="2"/>
  <c r="X5" i="2"/>
  <c r="G5" i="2"/>
  <c r="X4" i="2"/>
  <c r="X3" i="2"/>
  <c r="G3" i="2"/>
  <c r="A2" i="4" s="1"/>
  <c r="AH2" i="2"/>
  <c r="U2" i="2"/>
  <c r="A217" i="4" l="1"/>
  <c r="A215" i="4"/>
  <c r="A214" i="4"/>
  <c r="A212" i="4"/>
  <c r="A166" i="4"/>
  <c r="A163" i="4"/>
  <c r="A205" i="4"/>
  <c r="A164" i="4"/>
  <c r="A187" i="4"/>
  <c r="A165" i="4"/>
  <c r="A10" i="4"/>
  <c r="A7" i="4"/>
  <c r="A188" i="4"/>
  <c r="A183" i="4"/>
  <c r="A181" i="4"/>
  <c r="A185" i="4"/>
  <c r="A162" i="4"/>
  <c r="A122" i="4"/>
  <c r="A108" i="4"/>
  <c r="A106" i="4"/>
  <c r="A109" i="4"/>
  <c r="A107" i="4"/>
  <c r="A110" i="4"/>
  <c r="A90" i="4"/>
  <c r="A86" i="4"/>
  <c r="A72" i="4"/>
  <c r="A148" i="4"/>
  <c r="A112" i="4"/>
  <c r="A76" i="4"/>
  <c r="A75" i="4"/>
  <c r="A207" i="4"/>
  <c r="A130" i="4"/>
  <c r="A139" i="4"/>
  <c r="A138" i="4"/>
  <c r="A131" i="4"/>
  <c r="A105" i="4"/>
  <c r="A104" i="4"/>
  <c r="A78" i="4"/>
  <c r="A77" i="4"/>
  <c r="A70" i="4"/>
  <c r="A46" i="4"/>
  <c r="A13" i="4"/>
</calcChain>
</file>

<file path=xl/sharedStrings.xml><?xml version="1.0" encoding="utf-8"?>
<sst xmlns="http://schemas.openxmlformats.org/spreadsheetml/2006/main" count="893" uniqueCount="447">
  <si>
    <t># The aggregates by criteria's fixture (KERNEL.8, slice e): a Data sheet of twelve records under names in row 1 (an</t>
  </si>
  <si>
    <t>OK</t>
  </si>
  <si>
    <t># account, one blank and one in lower case; a month, one a text spelling 3; a region, its cases mixed; an amount; a</t>
  </si>
  <si>
    <t># quantity; a note of wildcards, an empty text, texts beginning alike and texts spelling numbers; a mixed column of a</t>
  </si>
  <si>
    <t># truth value, a text spelling 5, two errors and a blank; a day), criteria ranges for the database functions in K</t>
  </si>
  <si>
    <t># to AL, and a SUBTOTAL among the cells it sums in X; a Far sheet of three keys and a cell below them in another</t>
  </si>
  <si>
    <t># column; and a Functions sheet of one formula a function and a rule: the aggregates and their newer names, SUBTOTAL</t>
  </si>
  <si>
    <t># by every number, SUMIFS, COUNTIFS, AVERAGEIF, AVERAGEIFS, MAXIFS and MINIFS, and the twelve database functions,</t>
  </si>
  <si>
    <t># the edges Excel's documentation is silent on among them, and the reach of the rules Excel's first save settled.</t>
  </si>
  <si>
    <t># Built by frazaro into criteria.xlsx (each value it computes held). The owner hides the Data sheet's row 6 in</t>
  </si>
  <si>
    <t># Excel and saves it as criteria_saved.xlsx: SUBTOTAL's 101 to 111 pass that row by, and its 1 to 11 over it are</t>
  </si>
  <si>
    <t># labelled.</t>
  </si>
  <si>
    <t>Work on sheet Data.</t>
  </si>
  <si>
    <t>Put "Account" into cell A1.</t>
  </si>
  <si>
    <t>Put "Month" into cell B1.</t>
  </si>
  <si>
    <t>Put "Region" into cell C1.</t>
  </si>
  <si>
    <t>Put "Amount" into cell D1.</t>
  </si>
  <si>
    <t>Put "Qty" into cell E1.</t>
  </si>
  <si>
    <t>Put "Note" into cell F1.</t>
  </si>
  <si>
    <t>Put "Mixed" into cell G1.</t>
  </si>
  <si>
    <t>Put "Day" into cell H1.</t>
  </si>
  <si>
    <t>Put "Cash" into cell A2.</t>
  </si>
  <si>
    <t>Put 1 into cell B2.</t>
  </si>
  <si>
    <t>Put "East" into cell C2.</t>
  </si>
  <si>
    <t>Put 100 into cell D2.</t>
  </si>
  <si>
    <t>Put 5 into cell E2.</t>
  </si>
  <si>
    <t>Put "plain" into cell F2.</t>
  </si>
  <si>
    <t>Put 1 into cell G2.</t>
  </si>
  <si>
    <t>Put 46023 into cell H2.</t>
  </si>
  <si>
    <t>Put "Bank" into cell A3.</t>
  </si>
  <si>
    <t>Put 1 into cell B3.</t>
  </si>
  <si>
    <t>Put "West" into cell C3.</t>
  </si>
  <si>
    <t>Put 250.5 into cell D3.</t>
  </si>
  <si>
    <t>Put 3 into cell E3.</t>
  </si>
  <si>
    <t>Put "a*b" into cell F3.</t>
  </si>
  <si>
    <t>Put formula "=TRUE" into cell G3.</t>
  </si>
  <si>
    <t>Put 46024 into cell H3.</t>
  </si>
  <si>
    <t>Put "Cash" into cell A4.</t>
  </si>
  <si>
    <t>Put 2 into cell B4.</t>
  </si>
  <si>
    <t>Put "east" into cell C4.</t>
  </si>
  <si>
    <t>Put 75 into cell D4.</t>
  </si>
  <si>
    <t>Put 2 into cell E4.</t>
  </si>
  <si>
    <t>Put "a?b" into cell F4.</t>
  </si>
  <si>
    <t>Put "5" into cell G4.</t>
  </si>
  <si>
    <t>Put 46054 into cell H4.</t>
  </si>
  <si>
    <t>Put "Card" into cell A5.</t>
  </si>
  <si>
    <t>Put 2 into cell B5.</t>
  </si>
  <si>
    <t>Put "North" into cell C5.</t>
  </si>
  <si>
    <t>Put 40 into cell D5.</t>
  </si>
  <si>
    <t>Put 1 into cell E5.</t>
  </si>
  <si>
    <t>Put "~tilde" into cell F5.</t>
  </si>
  <si>
    <t>Put formula "=1/0" into cell G5.</t>
  </si>
  <si>
    <t>Put 46055 into cell H5.</t>
  </si>
  <si>
    <t>Put "Bank" into cell A6.</t>
  </si>
  <si>
    <t>Put 3 into cell B6.</t>
  </si>
  <si>
    <t>Put "West" into cell C6.</t>
  </si>
  <si>
    <t>Put 300 into cell D6.</t>
  </si>
  <si>
    <t>Put 4 into cell E6.</t>
  </si>
  <si>
    <t>Put 46082 into cell H6.</t>
  </si>
  <si>
    <t>Put "Cash" into cell A7.</t>
  </si>
  <si>
    <t>Put 3 into cell B7.</t>
  </si>
  <si>
    <t>Put "East" into cell C7.</t>
  </si>
  <si>
    <t>Put 125 into cell D7.</t>
  </si>
  <si>
    <t>Put 6 into cell E7.</t>
  </si>
  <si>
    <t>Put formula "=""""" into cell F7.</t>
  </si>
  <si>
    <t>Put 2 into cell G7.</t>
  </si>
  <si>
    <t>Put 46083 into cell H7.</t>
  </si>
  <si>
    <t>Put "Card" into cell A8.</t>
  </si>
  <si>
    <t>Put 1 into cell B8.</t>
  </si>
  <si>
    <t>Put "South" into cell C8.</t>
  </si>
  <si>
    <t>Put -20 into cell D8.</t>
  </si>
  <si>
    <t>Put 7 into cell E8.</t>
  </si>
  <si>
    <t>Put "Dav" into cell F8.</t>
  </si>
  <si>
    <t>Put formula "=""a""+1" into cell G8.</t>
  </si>
  <si>
    <t>Put 46025 into cell H8.</t>
  </si>
  <si>
    <t>Put "Cash" into cell A9.</t>
  </si>
  <si>
    <t>Put 12 into cell B9.</t>
  </si>
  <si>
    <t>Put "East" into cell C9.</t>
  </si>
  <si>
    <t>Put 10 into cell D9.</t>
  </si>
  <si>
    <t>Put 0 into cell E9.</t>
  </si>
  <si>
    <t>Put "Davolio" into cell F9.</t>
  </si>
  <si>
    <t>Put 3 into cell G9.</t>
  </si>
  <si>
    <t>Put 46357 into cell H9.</t>
  </si>
  <si>
    <t>Put 2 into cell B10.</t>
  </si>
  <si>
    <t>Put "West" into cell C10.</t>
  </si>
  <si>
    <t>Put 60 into cell D10.</t>
  </si>
  <si>
    <t>Put 2 into cell E10.</t>
  </si>
  <si>
    <t>Put "David" into cell F10.</t>
  </si>
  <si>
    <t>Put 4 into cell G10.</t>
  </si>
  <si>
    <t>Put 46056 into cell H10.</t>
  </si>
  <si>
    <t>Put "bank" into cell A11.</t>
  </si>
  <si>
    <t>Put 2 into cell B11.</t>
  </si>
  <si>
    <t>Put "WEST" into cell C11.</t>
  </si>
  <si>
    <t>Put 0.1 into cell D11.</t>
  </si>
  <si>
    <t>Put 1 into cell E11.</t>
  </si>
  <si>
    <t>Put "davis" into cell F11.</t>
  </si>
  <si>
    <t>Put 5 into cell G11.</t>
  </si>
  <si>
    <t>Put 46057 into cell H11.</t>
  </si>
  <si>
    <t>Put "Cash" into cell A12.</t>
  </si>
  <si>
    <t>Put 3 into cell B12.</t>
  </si>
  <si>
    <t>Put "East" into cell C12.</t>
  </si>
  <si>
    <t>Put 0.2 into cell D12.</t>
  </si>
  <si>
    <t>Put 9 into cell E12.</t>
  </si>
  <si>
    <t>Put "100" into cell F12.</t>
  </si>
  <si>
    <t>Put 6 into cell G12.</t>
  </si>
  <si>
    <t>Put 46084 into cell H12.</t>
  </si>
  <si>
    <t>Put "Card" into cell A13.</t>
  </si>
  <si>
    <t>Put "3" into cell B13.</t>
  </si>
  <si>
    <t>Put "North" into cell C13.</t>
  </si>
  <si>
    <t>Put 55 into cell D13.</t>
  </si>
  <si>
    <t>Put 3 into cell E13.</t>
  </si>
  <si>
    <t>Put "1e2" into cell F13.</t>
  </si>
  <si>
    <t>Put 7 into cell G13.</t>
  </si>
  <si>
    <t>Put 46085 into cell H13.</t>
  </si>
  <si>
    <t>Put "Region" into cell K1.</t>
  </si>
  <si>
    <t>Put "East" into cell K2.</t>
  </si>
  <si>
    <t>Put "Note" into cell L1.</t>
  </si>
  <si>
    <t>Put "Dav" into cell L2.</t>
  </si>
  <si>
    <t>Put "Note" into cell M1.</t>
  </si>
  <si>
    <t>Put "=Dav" into cell M2.</t>
  </si>
  <si>
    <t>Put "Month" into cell N1.</t>
  </si>
  <si>
    <t>Put 3 into cell N2.</t>
  </si>
  <si>
    <t>Put "Account" into cell O1.</t>
  </si>
  <si>
    <t>Put "Cash" into cell O2.</t>
  </si>
  <si>
    <t>Put "Month" into cell P1.</t>
  </si>
  <si>
    <t>Put 3 into cell P2.</t>
  </si>
  <si>
    <t>Put "Account" into cell Q1.</t>
  </si>
  <si>
    <t>Put "Card" into cell Q2.</t>
  </si>
  <si>
    <t>Put "Bank" into cell Q3.</t>
  </si>
  <si>
    <t>Put "Account" into cell R1.</t>
  </si>
  <si>
    <t>Put "Cash" into cell R2.</t>
  </si>
  <si>
    <t>Put "region" into cell S1.</t>
  </si>
  <si>
    <t>Put "west" into cell S2.</t>
  </si>
  <si>
    <t>Put "Nope" into cell T1.</t>
  </si>
  <si>
    <t>Put "x" into cell T2.</t>
  </si>
  <si>
    <t>Put "Big" into cell U1.</t>
  </si>
  <si>
    <t>Put formula "=Data!D2&gt;100" into cell U2.</t>
  </si>
  <si>
    <t>Put "Account" into cell W1.</t>
  </si>
  <si>
    <t>Put "Nope" into cell W2.</t>
  </si>
  <si>
    <t>Put "Note" into cell Y1.</t>
  </si>
  <si>
    <t>Put "Dav*" into cell Y2.</t>
  </si>
  <si>
    <t>Put "Note" into cell Z1.</t>
  </si>
  <si>
    <t>Put "*vi*" into cell Z2.</t>
  </si>
  <si>
    <t>Put "Note" into cell AA1.</t>
  </si>
  <si>
    <t>Put "D?v" into cell AA2.</t>
  </si>
  <si>
    <t>Put "Amount" into cell AB1.</t>
  </si>
  <si>
    <t>Put "10" into cell AB2.</t>
  </si>
  <si>
    <t>Put "Amount" into cell AC1.</t>
  </si>
  <si>
    <t>Put 10 into cell AC2.</t>
  </si>
  <si>
    <t>Put "Amount" into cell AD1.</t>
  </si>
  <si>
    <t>Put "&gt;100" into cell AD2.</t>
  </si>
  <si>
    <t>Put "Account" into cell AE1.</t>
  </si>
  <si>
    <t>Put "&lt;&gt;Cash" into cell AE2.</t>
  </si>
  <si>
    <t>Put "Account" into cell AF1.</t>
  </si>
  <si>
    <t>Put "=" into cell AF2.</t>
  </si>
  <si>
    <t>Put "Account" into cell AG1.</t>
  </si>
  <si>
    <t>Put "&lt;&gt;" into cell AG2.</t>
  </si>
  <si>
    <t>Put "Mixed" into cell AH1.</t>
  </si>
  <si>
    <t>Put formula "=TRUE" into cell AH2.</t>
  </si>
  <si>
    <t>Put "Account" into cell AI1.</t>
  </si>
  <si>
    <t>Put "Cash" into cell AI2.</t>
  </si>
  <si>
    <t>Put "Card" into cell AI3.</t>
  </si>
  <si>
    <t>Put "Month" into cell AJ1.</t>
  </si>
  <si>
    <t>Put 3 into cell AJ2.</t>
  </si>
  <si>
    <t>Put "Mixed" into cell AK1.</t>
  </si>
  <si>
    <t>Put "&gt;1" into cell AK2.</t>
  </si>
  <si>
    <t>Put "Amount" into cell AL1.</t>
  </si>
  <si>
    <t>Put 300 into cell AL2.</t>
  </si>
  <si>
    <t>Put 1 into cell X1.</t>
  </si>
  <si>
    <t>Put 2 into cell X2.</t>
  </si>
  <si>
    <t>Put formula "=SUBTOTAL(9,X1:X2)" into cell X3.</t>
  </si>
  <si>
    <t>Put formula "=SUBTOTAL(9,X1:X2)*2" into cell X4.</t>
  </si>
  <si>
    <t>Put formula "=SUM(X1:X2)" into cell X5.</t>
  </si>
  <si>
    <t>Work on sheet Far.</t>
  </si>
  <si>
    <t>Put "Key" into cell A1.</t>
  </si>
  <si>
    <t>Put "x" into cell A2.</t>
  </si>
  <si>
    <t>Put "y" into cell A3.</t>
  </si>
  <si>
    <t>Put 1 into cell C9.</t>
  </si>
  <si>
    <t>Put "Key" into cell E1.</t>
  </si>
  <si>
    <t>Put "=" into cell E2.</t>
  </si>
  <si>
    <t>Work on sheet Functions.</t>
  </si>
  <si>
    <t>Put formula "=COUNT(Data!D2:D13)" into cell A1.</t>
  </si>
  <si>
    <t>Put formula "=COUNT(Data!G2:G13)" into cell A2.</t>
  </si>
  <si>
    <t>Put formula "=COUNT(1,TRUE,""2"",""x"",1/0)" into cell A3.</t>
  </si>
  <si>
    <t>Put formula "=COUNT(1,,2)" into cell A4.</t>
  </si>
  <si>
    <t>Put formula "=COUNT(1/0)" into cell A5.</t>
  </si>
  <si>
    <t>Put formula "=COUNT(Data!J1)" into cell A6.</t>
  </si>
  <si>
    <t>Put formula "=COUNTA(Data!F2:F13)" into cell A7.</t>
  </si>
  <si>
    <t>Put formula "=COUNTA(1,"""",TRUE,1/0)" into cell A8.</t>
  </si>
  <si>
    <t>Put formula "=COUNTA(Data!J1)" into cell A9.</t>
  </si>
  <si>
    <t>Put formula "=COUNTA(Data!F7)" into cell A10.</t>
  </si>
  <si>
    <t>Put formula "=COUNTA(1,,2)" into cell A11.</t>
  </si>
  <si>
    <t>Put formula "=PRODUCT(Data!E2:E5)" into cell A12.</t>
  </si>
  <si>
    <t>Put formula "=PRODUCT(Data!G2:G13)" into cell A13.</t>
  </si>
  <si>
    <t>Put formula "=PRODUCT(2,""3"",TRUE)" into cell A14.</t>
  </si>
  <si>
    <t>Put formula "=PRODUCT(""x"")" into cell A15.</t>
  </si>
  <si>
    <t>Put formula "=PRODUCT(Data!J1:J2)" into cell A16.</t>
  </si>
  <si>
    <t>Put formula "=PRODUCT(Data!D2:D13)" into cell A17.</t>
  </si>
  <si>
    <t>Put formula "=AVERAGE(Data!E2:E13)" into cell A18.</t>
  </si>
  <si>
    <t>Put formula "=AVERAGE(1,""2"",TRUE)" into cell A19.</t>
  </si>
  <si>
    <t>Put formula "=AVERAGE(Data!J1:J2)" into cell A20.</t>
  </si>
  <si>
    <t>Put formula "=AVERAGE(1,,2)" into cell A21.</t>
  </si>
  <si>
    <t>Put formula "=AVERAGE(""x"")" into cell A22.</t>
  </si>
  <si>
    <t>Put formula "=AVERAGE(TRUE)" into cell A23.</t>
  </si>
  <si>
    <t>Put formula "=AVERAGE(Data!D2:D13)" into cell A24.</t>
  </si>
  <si>
    <t>Put formula "=VAR(1,2,3,4)" into cell A25.</t>
  </si>
  <si>
    <t>Put formula "=VAR.S(1,2,3,4)" into cell A26.</t>
  </si>
  <si>
    <t>Put formula "=VARP(1,2,3,4)" into cell A27.</t>
  </si>
  <si>
    <t>Put formula "=VAR.P(1,2,3,4)" into cell A28.</t>
  </si>
  <si>
    <t>Put formula "=STDEV(1,2,3,4)" into cell A29.</t>
  </si>
  <si>
    <t>Put formula "=STDEV.S(1,2,3,4)" into cell A30.</t>
  </si>
  <si>
    <t>Put formula "=STDEVP(1,2,3,4)" into cell A31.</t>
  </si>
  <si>
    <t>Put formula "=STDEV.P(1,2,3,4)" into cell A32.</t>
  </si>
  <si>
    <t>Put formula "=STDEV(5)" into cell A33.</t>
  </si>
  <si>
    <t>Put formula "=STDEVP(5)" into cell A34.</t>
  </si>
  <si>
    <t>Put formula "=VARP(Data!J1)" into cell A35.</t>
  </si>
  <si>
    <t>Put formula "=VAR(1000000001,1000000002,1000000003)" into cell A36.</t>
  </si>
  <si>
    <t>Put formula "=VAR(1E15+1,1E15+2,1E15+3)" into cell A37.</t>
  </si>
  <si>
    <t>Put formula "=VAR(0.1,0.2,0.3)" into cell A38.</t>
  </si>
  <si>
    <t>Put formula "=STDEV(0.1,0.2,0.3)" into cell A39.</t>
  </si>
  <si>
    <t>Put formula "=STDEV(Data!E2:E13)" into cell A40.</t>
  </si>
  <si>
    <t>Put formula "=STDEVP(Data!E2:E13)" into cell A41.</t>
  </si>
  <si>
    <t>Put formula "=VAR(Data!D2:D13)" into cell A42.</t>
  </si>
  <si>
    <t>Put formula "=VARP(Data!D2:D13)" into cell A43.</t>
  </si>
  <si>
    <t>Put formula "=STDEV.S(Data!D2:D13)" into cell A44.</t>
  </si>
  <si>
    <t>Put formula "=STDEV.P(Data!D2:D13)" into cell A45.</t>
  </si>
  <si>
    <t>Put formula "=STDEV(Data!G2:G13)" into cell A46.</t>
  </si>
  <si>
    <t>Put formula "=VAR(Data!H2:H13)" into cell A47.</t>
  </si>
  <si>
    <t>Put formula "=SUBTOTAL(1,Data!D2:D13)" into cell A48.</t>
  </si>
  <si>
    <t>Put formula "=SUBTOTAL(2,Data!D2:D13)" into cell A49.</t>
  </si>
  <si>
    <t>Put formula "=SUBTOTAL(3,Data!D2:D13)" into cell A50.</t>
  </si>
  <si>
    <t>Put formula "=SUBTOTAL(4,Data!D2:D13)" into cell A51.</t>
  </si>
  <si>
    <t>Put formula "=SUBTOTAL(5,Data!D2:D13)" into cell A52.</t>
  </si>
  <si>
    <t>Put formula "=SUBTOTAL(6,Data!D2:D13)" into cell A53.</t>
  </si>
  <si>
    <t>Put formula "=SUBTOTAL(7,Data!D2:D13)" into cell A54.</t>
  </si>
  <si>
    <t>Put formula "=SUBTOTAL(8,Data!D2:D13)" into cell A55.</t>
  </si>
  <si>
    <t>Put formula "=SUBTOTAL(9,Data!D2:D13)" into cell A56.</t>
  </si>
  <si>
    <t>Put formula "=SUBTOTAL(10,Data!D2:D13)" into cell A57.</t>
  </si>
  <si>
    <t>Put formula "=SUBTOTAL(11,Data!D2:D13)" into cell A58.</t>
  </si>
  <si>
    <t>Put formula "=SUBTOTAL(101,Data!D2:D13)" into cell A59.</t>
  </si>
  <si>
    <t>Put formula "=SUBTOTAL(102,Data!D2:D13)" into cell A60.</t>
  </si>
  <si>
    <t>Put formula "=SUBTOTAL(103,Data!D2:D13)" into cell A61.</t>
  </si>
  <si>
    <t>Put formula "=SUBTOTAL(104,Data!D2:D13)" into cell A62.</t>
  </si>
  <si>
    <t>Put formula "=SUBTOTAL(105,Data!D2:D13)" into cell A63.</t>
  </si>
  <si>
    <t>Put formula "=SUBTOTAL(106,Data!D2:D13)" into cell A64.</t>
  </si>
  <si>
    <t>Put formula "=SUBTOTAL(107,Data!D2:D13)" into cell A65.</t>
  </si>
  <si>
    <t>Put formula "=SUBTOTAL(108,Data!D2:D13)" into cell A66.</t>
  </si>
  <si>
    <t>Put formula "=SUBTOTAL(109,Data!D2:D13)" into cell A67.</t>
  </si>
  <si>
    <t>Put formula "=SUBTOTAL(110,Data!D2:D13)" into cell A68.</t>
  </si>
  <si>
    <t>Put formula "=SUBTOTAL(111,Data!D2:D13)" into cell A69.</t>
  </si>
  <si>
    <t>Put formula "=SUBTOTAL(102,Data!G2:G13)" into cell A70.</t>
  </si>
  <si>
    <t>Put formula "=SUBTOTAL(103,Data!A2:A13)" into cell A71.</t>
  </si>
  <si>
    <t>Put formula "=SUBTOTAL(103,Data!F2:F13)" into cell A72.</t>
  </si>
  <si>
    <t>Put formula "=SUBTOTAL(9,Data!D2:D5)" into cell A73.</t>
  </si>
  <si>
    <t>Put formula "=SUBTOTAL(109,Data!D2:D13,Data!E2:E13)" into cell A74.</t>
  </si>
  <si>
    <t>Put formula "=SUBTOTAL(9,Data!X1:X5)" into cell A75.</t>
  </si>
  <si>
    <t>Put formula "=SUBTOTAL(109,Data!X1:X5)" into cell A76.</t>
  </si>
  <si>
    <t>Put formula "=SUBTOTAL(9,Data!G2:G13)" into cell A77.</t>
  </si>
  <si>
    <t>Put formula "=SUBTOTAL(109,Data!G2:G13)" into cell A78.</t>
  </si>
  <si>
    <t>Put formula "=SUBTOTAL(0,Data!D2:D3)" into cell A79.</t>
  </si>
  <si>
    <t>Put formula "=SUBTOTAL(12,Data!D2:D3)" into cell A80.</t>
  </si>
  <si>
    <t>Put formula "=SUBTOTAL(100,Data!D2:D3)" into cell A81.</t>
  </si>
  <si>
    <t>Put formula "=SUBTOTAL(112,Data!D2:D3)" into cell A82.</t>
  </si>
  <si>
    <t>Put formula "=SUBTOTAL(-9,Data!D2:D3)" into cell A83.</t>
  </si>
  <si>
    <t>Put formula "=SUBTOTAL(9.7,Data!D2:D3)" into cell A84.</t>
  </si>
  <si>
    <t>Put formula "=SUBTOTAL(""9"",Data!D2:D3)" into cell A85.</t>
  </si>
  <si>
    <t>Put formula "=COUNTIF(Data!F2:F13,""~~*"")" into cell A86.</t>
  </si>
  <si>
    <t>Put formula "=SUBTOTAL(109,Data!D2:H2)" into cell A87.</t>
  </si>
  <si>
    <t>Put formula "=SUBTOTAL(109,Data!D6:H6)" into cell A88.</t>
  </si>
  <si>
    <t>Put formula "=SUBTOTAL(9,Data!D6)" into cell A89.</t>
  </si>
  <si>
    <t>Put formula "=SUBTOTAL(9,Data!D7:H7)" into cell A90.</t>
  </si>
  <si>
    <t>Put formula "=SUMIFS(Data!D2:D13,Data!A2:A13,""Cash"")" into cell A91.</t>
  </si>
  <si>
    <t>Put formula "=SUMIFS(Data!D2:D13,Data!A2:A13,""Cash"",Data!B2:B13,3)" into cell A92.</t>
  </si>
  <si>
    <t>Put formula "=SUMIFS(Data!D2:D13,Data!A2:A13,""Cash"",Data!B2:B13,""&gt;1"")" into cell A93.</t>
  </si>
  <si>
    <t>Put formula "=SUMIFS(Data!D2:D13,Data!C2:C13,""east"")" into cell A94.</t>
  </si>
  <si>
    <t>Put formula "=SUMIFS(Data!D2:D13,Data!A2:A13,""B*"")" into cell A95.</t>
  </si>
  <si>
    <t>Put formula "=SUMIFS(Data!D2:D13,Data!A2:A13,""?a??"")" into cell A96.</t>
  </si>
  <si>
    <t>Put formula "=SUMIFS(Data!D2:D13,Data!A2:A13,"""")" into cell A97.</t>
  </si>
  <si>
    <t>Put formula "=SUMIFS(Data!D2:D13,Data!A2:A13,""="")" into cell A98.</t>
  </si>
  <si>
    <t>Put formula "=SUMIFS(Data!D2:D13,Data!A2:A13,""&lt;&gt;"")" into cell A99.</t>
  </si>
  <si>
    <t>Put formula "=SUMIFS(Data!D2:D13,Data!B2:B13,""3"")" into cell A100.</t>
  </si>
  <si>
    <t>Put formula "=SUMIFS(Data!D2:D13,Data!B2:B13,3)" into cell A101.</t>
  </si>
  <si>
    <t>Put formula "=SUMIFS(Data!D2:D13,Data!B2:B13,""&gt;=3"")" into cell A102.</t>
  </si>
  <si>
    <t>Put formula "=SUMIFS(Data!D2:D13,Data!B2:B13,""&lt;&gt;3"")" into cell A103.</t>
  </si>
  <si>
    <t>Put formula "=SUMIFS(Data!D2:D13,Data!G2:G13,TRUE)" into cell A104.</t>
  </si>
  <si>
    <t>Put formula "=SUMIFS(Data!D2:D13,Data!G2:G13,""#DIV/0!"")" into cell A105.</t>
  </si>
  <si>
    <t>Put formula "=SUMIFS(Data!D2:D13,Data!F2:F13,""a~*b"")" into cell A106.</t>
  </si>
  <si>
    <t>Put formula "=SUMIFS(Data!D2:D13,Data!F2:F13,""a?b"")" into cell A107.</t>
  </si>
  <si>
    <t>Put formula "=SUMIFS(Data!D2:D13,Data!F2:F13,""~~tilde"")" into cell A108.</t>
  </si>
  <si>
    <t>Put formula "=SUMIFS(Data!D2:D13,Data!F2:F13,""*"")" into cell A109.</t>
  </si>
  <si>
    <t>Put formula "=SUMIFS(Data!D2:D13,Data!F2:F13,""?*"")" into cell A110.</t>
  </si>
  <si>
    <t>Put formula "=SUMIFS(Data!D2:D13,Data!B2:B13,""&gt;1"",Data!B2:B13,""&lt;3"")" into cell A111.</t>
  </si>
  <si>
    <t>Put formula "=SUMIFS(Data!G2:G13,Data!A2:A13,""Card"")" into cell A112.</t>
  </si>
  <si>
    <t>Put formula "=SUMIFS(Data!G2:G13,Data!A2:A13,""Cash"")" into cell A113.</t>
  </si>
  <si>
    <t>Put formula "=SUMIFS(Data!D2:D13,Data!A2:A12,""Cash"")" into cell A114.</t>
  </si>
  <si>
    <t>Put formula "=SUMIFS(Data!D2:D13,Data!A2:A13,Data!J1)" into cell A115.</t>
  </si>
  <si>
    <t>Put formula "=SUMIFS(Data!D2:D13,Data!H2:H13,""&gt;=""&amp;DATE(2026,2,1))" into cell A116.</t>
  </si>
  <si>
    <t>Put formula "=SUMIFS(Data!D:D,Data!A:A,""Cash"")" into cell A117.</t>
  </si>
  <si>
    <t>Put formula "=SUMIFS(Data!D2:E13,Data!A2:B13,""Cash"")" into cell A118.</t>
  </si>
  <si>
    <t>Put formula "=SUMIFS(Data!D2:D13,Data!A2:A13,""Cash"",Data!C2:C13,""East"",Data!E2:E13,""&gt;2"")" into cell A119.</t>
  </si>
  <si>
    <t>Put formula "=COUNTIFS(Data!A2:A13,""Cash"",Data!B2:B13,""&gt;1"")" into cell A120.</t>
  </si>
  <si>
    <t>Put formula "=COUNTIFS(Data!A2:A13,""&lt;&gt;Cash"")" into cell A121.</t>
  </si>
  <si>
    <t>Put formula "=COUNTIFS(Data!F2:F13,"""")" into cell A122.</t>
  </si>
  <si>
    <t>Put formula "=COUNTIFS(Data!A2:A13,""*"")" into cell A123.</t>
  </si>
  <si>
    <t>Put formula "=COUNTIFS(Data!A:A,""Cash"")" into cell A124.</t>
  </si>
  <si>
    <t>Put formula "=COUNTIFS(Data!A:A,"""")" into cell A125.</t>
  </si>
  <si>
    <t>Put formula "=COUNTIFS(Data!A:A,"""",Data!B:B,"""")" into cell A126.</t>
  </si>
  <si>
    <t>Put formula "=COUNTIFS(Data!A2:A13,""Cash"",Data!B2:B12,3)" into cell A127.</t>
  </si>
  <si>
    <t>Put formula "=COUNTIFS(Data!B2:B13,Data!J1)" into cell A128.</t>
  </si>
  <si>
    <t>Put formula "=COUNTIFS(Data!E2:E13,Data!J1)" into cell A129.</t>
  </si>
  <si>
    <t>Put formula "=COUNTIFS(Data!G2:G13,""&lt;&gt;#DIV/0!"")" into cell A130.</t>
  </si>
  <si>
    <t>Put formula "=COUNTIFS(Data!G2:G13,""&gt;=2"")" into cell A131.</t>
  </si>
  <si>
    <t>Put formula "=COUNTIFS(Data!A2:A13,""cash"",Data!C2:C13,""EAST"")" into cell A132.</t>
  </si>
  <si>
    <t>Put formula "=AVERAGEIF(Data!D2:D13,""&gt;100"")" into cell A133.</t>
  </si>
  <si>
    <t>Put formula "=AVERAGEIF(Data!A2:A13,""Cash"",Data!D2:D13)" into cell A134.</t>
  </si>
  <si>
    <t>Put formula "=AVERAGEIF(Data!A2:A13,""Cash"",Data!D2)" into cell A135.</t>
  </si>
  <si>
    <t>Put formula "=AVERAGEIF(Data!A2:A13,""Cash"",Data!D2:E13)" into cell A136.</t>
  </si>
  <si>
    <t>Put formula "=AVERAGEIF(Data!A2:A13,""Nope"",Data!D2:D13)" into cell A137.</t>
  </si>
  <si>
    <t>Put formula "=AVERAGEIF(Data!G2:G13,""&gt;0"")" into cell A138.</t>
  </si>
  <si>
    <t>Put formula "=AVERAGEIF(Data!G2:G13,""&lt;&gt;"")" into cell A139.</t>
  </si>
  <si>
    <t>Put formula "=AVERAGEIFS(Data!D2:D13,Data!A2:A13,""Cash"",Data!B2:B13,3)" into cell A140.</t>
  </si>
  <si>
    <t>Put formula "=AVERAGEIFS(Data!D2:D13,Data!A2:A13,""Nope"")" into cell A141.</t>
  </si>
  <si>
    <t>Put formula "=AVERAGEIFS(Data!G2:G13,Data!A2:A13,""Cash"")" into cell A142.</t>
  </si>
  <si>
    <t>Put formula "=AVERAGEIFS(Data!D2:D13,Data!A2:A12,""Cash"")" into cell A143.</t>
  </si>
  <si>
    <t>Put formula "=MAXIFS(Data!D2:D13,Data!A2:A13,""Card"")" into cell A144.</t>
  </si>
  <si>
    <t>Put formula "=MINIFS(Data!D2:D13,Data!A2:A13,""Card"")" into cell A145.</t>
  </si>
  <si>
    <t>Put formula "=MAXIFS(Data!D2:D13,Data!A2:A13,""Nope"")" into cell A146.</t>
  </si>
  <si>
    <t>Put formula "=MINIFS(Data!D2:D13,Data!A2:A13,""Nope"")" into cell A147.</t>
  </si>
  <si>
    <t>Put formula "=MAXIFS(Data!G2:G13,Data!A2:A13,""Card"")" into cell A148.</t>
  </si>
  <si>
    <t>Put formula "=MAXIFS(Data!D2:D13,Data!A2:A12,""Card"")" into cell A149.</t>
  </si>
  <si>
    <t>Put formula "=MINIFS(Data!E2:E13,Data!C2:C13,""West"",Data!B2:B13,""&gt;=2"")" into cell A150.</t>
  </si>
  <si>
    <t>Put formula "=MAXIFS(Data!H2:H13,Data!A2:A13,""&lt;&gt;Cash"")" into cell A151.</t>
  </si>
  <si>
    <t>Put formula "=DSUM(Data!A1:H13,""Amount"",Data!K1:K2)" into cell A152.</t>
  </si>
  <si>
    <t>Put formula "=DSUM(Data!A1:H13,4,Data!K1:K2)" into cell A153.</t>
  </si>
  <si>
    <t>Put formula "=DSUM(Data!A1:H13,4.7,Data!K1:K2)" into cell A154.</t>
  </si>
  <si>
    <t>Put formula "=DSUM(Data!A1:H13,""amount"",Data!K1:K2)" into cell A155.</t>
  </si>
  <si>
    <t>Put formula "=DSUM(Data!A1:H13,""Amt"",Data!K1:K2)" into cell A156.</t>
  </si>
  <si>
    <t>Put formula "=DSUM(Data!A1:H13,0,Data!K1:K2)" into cell A157.</t>
  </si>
  <si>
    <t>Put formula "=DSUM(Data!A1:H13,9,Data!K1:K2)" into cell A158.</t>
  </si>
  <si>
    <t>Put formula "=DSUM(Data!A1:H13,,Data!K1:K2)" into cell A159.</t>
  </si>
  <si>
    <t>Put formula "=DSUM(Data!A1:H13,""4"",Data!K1:K2)" into cell A160.</t>
  </si>
  <si>
    <t>Put formula "=DSUM(Data!A1:H13,Data!D1,Data!K1:K2)" into cell A161.</t>
  </si>
  <si>
    <t>Put formula "=DCOUNTA(Data!A1:H13,""Note"",Data!L1:L2)" into cell A162.</t>
  </si>
  <si>
    <t>Put formula "=DCOUNTA(Data!A1:H13,""Note"",Data!M1:M2)" into cell A163.</t>
  </si>
  <si>
    <t>Put formula "=DCOUNTA(Data!A1:H13,""Note"",Data!Y1:Y2)" into cell A164.</t>
  </si>
  <si>
    <t>Put formula "=DCOUNTA(Data!A1:H13,""Note"",Data!Z1:Z2)" into cell A165.</t>
  </si>
  <si>
    <t>Put formula "=DCOUNTA(Data!A1:H13,""Note"",Data!AA1:AA2)" into cell A166.</t>
  </si>
  <si>
    <t>Put formula "=DSUM(Data!A1:H13,""Amount"",Data!N1:N2)" into cell A167.</t>
  </si>
  <si>
    <t>Put formula "=DSUM(Data!A1:H13,""Amount"",Data!O1:P2)" into cell A168.</t>
  </si>
  <si>
    <t>Put formula "=DSUM(Data!A1:H13,""Amount"",Data!Q1:Q3)" into cell A169.</t>
  </si>
  <si>
    <t>Put formula "=DSUM(Data!A1:H13,""Amount"",Data!R1:R3)" into cell A170.</t>
  </si>
  <si>
    <t>Put formula "=DCOUNT(Data!A1:H13,""Qty"",Data!S1:S2)" into cell A171.</t>
  </si>
  <si>
    <t>Put formula "=DSUM(Data!A1:H13,""Amount"",Data!T1:T2)" into cell A172.</t>
  </si>
  <si>
    <t>Put formula "=DSUM(Data!A1:H13,""Amount"",Data!U1:U2)" into cell A173.</t>
  </si>
  <si>
    <t>Put formula "=DSUM(Data!A1:H13,""Amount"",Data!AB1:AB2)" into cell A174.</t>
  </si>
  <si>
    <t>Put formula "=DSUM(Data!A1:H13,""Amount"",Data!AC1:AC2)" into cell A175.</t>
  </si>
  <si>
    <t>Put formula "=DSUM(Data!A1:H13,""Amount"",Data!AD1:AD2)" into cell A176.</t>
  </si>
  <si>
    <t>Put formula "=DCOUNTA(Data!A1:H13,""Account"",Data!AE1:AE2)" into cell A177.</t>
  </si>
  <si>
    <t>Put formula "=DCOUNT(Data!A1:H13,,Data!AE1:AE2)" into cell A178.</t>
  </si>
  <si>
    <t>Put formula "=DSUM(Data!A1:H13,""Amount"",Data!AF1:AF2)" into cell A179.</t>
  </si>
  <si>
    <t>Put formula "=DCOUNT(Data!A1:H13,,Data!AG1:AG2)" into cell A180.</t>
  </si>
  <si>
    <t>Put formula "=DSUM(Data!A1:H13,""Amount"",Data!AH1:AH2)" into cell A181.</t>
  </si>
  <si>
    <t>Put formula "=DSUM(Data!A1:H13,""Amount"",Data!AI1:AJ3)" into cell A182.</t>
  </si>
  <si>
    <t>Put formula "=DCOUNT(Data!A1:H13,""Mixed"",Data!AK1:AK2)" into cell A183.</t>
  </si>
  <si>
    <t>Put formula "=DGET(Data!A1:H13,""Amount"",Data!O1:P2)" into cell A184.</t>
  </si>
  <si>
    <t>Put formula "=DGET(Data!A1:H13,""Amount"",Data!M1:M2)" into cell A185.</t>
  </si>
  <si>
    <t>Put formula "=DGET(Data!A1:H13,""Amount"",Data!W1:W2)" into cell A186.</t>
  </si>
  <si>
    <t>Put formula "=DGET(Data!A1:H13,""Note"",Data!M1:M2)" into cell A187.</t>
  </si>
  <si>
    <t>Put formula "=DGET(Data!A1:H13,""Mixed"",Data!M1:M2)" into cell A188.</t>
  </si>
  <si>
    <t>Put formula "=DCOUNT(Data!A1:H13,,Data!K1:K2)" into cell A189.</t>
  </si>
  <si>
    <t>Put formula "=DCOUNTA(Data!A1:H13,,Data!K1:K2)" into cell A190.</t>
  </si>
  <si>
    <t>Put formula "=DCOUNT(Data!A1:H13,""Mixed"",Data!K1:K2)" into cell A191.</t>
  </si>
  <si>
    <t>Put formula "=DCOUNTA(Data!A1:H13,""Mixed"",Data!K1:K2)" into cell A192.</t>
  </si>
  <si>
    <t>Put formula "=DAVERAGE(Data!A1:H13,""Amount"",Data!K1:K2)" into cell A193.</t>
  </si>
  <si>
    <t>Put formula "=DAVERAGE(Data!A1:H13,""Amount"",Data!W1:W2)" into cell A194.</t>
  </si>
  <si>
    <t>Put formula "=DMAX(Data!A1:H13,""Amount"",Data!K1:K2)" into cell A195.</t>
  </si>
  <si>
    <t>Put formula "=DMIN(Data!A1:H13,""Amount"",Data!K1:K2)" into cell A196.</t>
  </si>
  <si>
    <t>Put formula "=DMAX(Data!A1:H13,""Amount"",Data!W1:W2)" into cell A197.</t>
  </si>
  <si>
    <t>Put formula "=DMIN(Data!A1:H13,""Amount"",Data!W1:W2)" into cell A198.</t>
  </si>
  <si>
    <t>Put formula "=DPRODUCT(Data!A1:H13,""Qty"",Data!K1:K2)" into cell A199.</t>
  </si>
  <si>
    <t>Put formula "=DPRODUCT(Data!A1:H13,""Qty"",Data!W1:W2)" into cell A200.</t>
  </si>
  <si>
    <t>Put formula "=DSTDEV(Data!A1:H13,""Qty"",Data!K1:K2)" into cell A201.</t>
  </si>
  <si>
    <t>Put formula "=DSTDEVP(Data!A1:H13,""Qty"",Data!K1:K2)" into cell A202.</t>
  </si>
  <si>
    <t>Put formula "=DVAR(Data!A1:H13,""Qty"",Data!K1:K2)" into cell A203.</t>
  </si>
  <si>
    <t>Put formula "=DVARP(Data!A1:H13,""Qty"",Data!K1:K2)" into cell A204.</t>
  </si>
  <si>
    <t>Put formula "=DSTDEV(Data!A1:H13,""Qty"",Data!M1:M2)" into cell A205.</t>
  </si>
  <si>
    <t>Put formula "=DSUM(Data!A1:H13,""Mixed"",Data!K1:K2)" into cell A206.</t>
  </si>
  <si>
    <t>Put formula "=DSUM(Data!A1:H13,""Mixed"",Data!Q1:Q3)" into cell A207.</t>
  </si>
  <si>
    <t>Put formula "=DSUM(Data!A1:H13,""Amount"",Data!K1)" into cell A208.</t>
  </si>
  <si>
    <t>Put formula "=DSUM(Data!A1:H13,""Amount"",Data!K2:K3)" into cell A209.</t>
  </si>
  <si>
    <t>Put formula "=DSUM(Data!A:H,""Amount"",Data!K1:K2)" into cell A210.</t>
  </si>
  <si>
    <t>Put formula "=DCOUNTA(Data!A:H,,Data!AF1:AF2)" into cell A211.</t>
  </si>
  <si>
    <t>Put formula "=DSUM(Data!A1:H13,""Amount"",Data!K1:L2)" into cell A212.</t>
  </si>
  <si>
    <t>Put formula "=DGET(Data!A1:H13,""Note"",Data!AL1:AL2)" into cell A213.</t>
  </si>
  <si>
    <t>Put formula "=COUNTIF(Data!F2:F13,""~tilde"")" into cell A214.</t>
  </si>
  <si>
    <t>Put formula "=COUNTIF(Data!F2:F13,""~t*"")" into cell A215.</t>
  </si>
  <si>
    <t>Put formula "=MATCH(""~~tilde"",Data!F2:F13,0)" into cell A216.</t>
  </si>
  <si>
    <t>Put formula "=MATCH(""~tilde"",Data!F2:F13,0)" into cell A217.</t>
  </si>
  <si>
    <t>Put formula "=DCOUNTA(Far!A:A,,Far!E1:E2)" into cell A218.</t>
  </si>
  <si>
    <t>Put formula "=DSUM(Data!A1:H13,""Amount"",Data!K13:K15)" into cell A219.</t>
  </si>
  <si>
    <t>Account</t>
  </si>
  <si>
    <t>Month</t>
  </si>
  <si>
    <t>Region</t>
  </si>
  <si>
    <t>Amount</t>
  </si>
  <si>
    <t>Qty</t>
  </si>
  <si>
    <t>Note</t>
  </si>
  <si>
    <t>Mixed</t>
  </si>
  <si>
    <t>Day</t>
  </si>
  <si>
    <t>region</t>
  </si>
  <si>
    <t>Nope</t>
  </si>
  <si>
    <t>Big</t>
  </si>
  <si>
    <t>Cash</t>
  </si>
  <si>
    <t>East</t>
  </si>
  <si>
    <t>plain</t>
  </si>
  <si>
    <t>Dav</t>
  </si>
  <si>
    <t>=Dav</t>
  </si>
  <si>
    <t>Card</t>
  </si>
  <si>
    <t>west</t>
  </si>
  <si>
    <t>x</t>
  </si>
  <si>
    <t>Dav*</t>
  </si>
  <si>
    <t>*vi*</t>
  </si>
  <si>
    <t>D?v</t>
  </si>
  <si>
    <t>10</t>
  </si>
  <si>
    <t>&gt;100</t>
  </si>
  <si>
    <t>&lt;&gt;Cash</t>
  </si>
  <si>
    <t>=</t>
  </si>
  <si>
    <t>&lt;&gt;</t>
  </si>
  <si>
    <t>&gt;1</t>
  </si>
  <si>
    <t>Bank</t>
  </si>
  <si>
    <t>West</t>
  </si>
  <si>
    <t>a*b</t>
  </si>
  <si>
    <t>east</t>
  </si>
  <si>
    <t>a?b</t>
  </si>
  <si>
    <t>5</t>
  </si>
  <si>
    <t>North</t>
  </si>
  <si>
    <t>~tilde</t>
  </si>
  <si>
    <t>South</t>
  </si>
  <si>
    <t>Davolio</t>
  </si>
  <si>
    <t>David</t>
  </si>
  <si>
    <t>bank</t>
  </si>
  <si>
    <t>WEST</t>
  </si>
  <si>
    <t>davis</t>
  </si>
  <si>
    <t>100</t>
  </si>
  <si>
    <t>3</t>
  </si>
  <si>
    <t>1e2</t>
  </si>
  <si>
    <t>Key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</si>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</sst>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02"/>
  <sheetViews>
    <sheetView showGridLines="0" topLeftCell="B1" workbookViewId="0">
      <selection activeCell="B1" sqref="B1"/>
    </sheetView>
  </sheetViews>
  <sheetFormatPr defaultRowHeight="14.5" x14ac:dyDescent="0.35"/>
  <cols>
    <col min="1" max="1" width="0" hidden="1" customWidth="1"/>
    <col min="2" max="2" width="72.7265625" style="1" customWidth="1"/>
    <col min="3" max="3" width="60.7265625" style="2" customWidth="1"/>
  </cols>
  <sheetData>
    <row r="1" spans="2:3" x14ac:dyDescent="0.35">
      <c r="B1" s="1" t="s">
        <v>0</v>
      </c>
      <c r="C1" s="3" t="s">
        <v>1</v>
      </c>
    </row>
    <row r="2" spans="2:3" x14ac:dyDescent="0.35">
      <c r="B2" s="1" t="s">
        <v>2</v>
      </c>
      <c r="C2" s="3" t="s">
        <v>1</v>
      </c>
    </row>
    <row r="3" spans="2:3" x14ac:dyDescent="0.35">
      <c r="B3" s="1" t="s">
        <v>3</v>
      </c>
      <c r="C3" s="3" t="s">
        <v>1</v>
      </c>
    </row>
    <row r="4" spans="2:3" x14ac:dyDescent="0.35">
      <c r="B4" s="1" t="s">
        <v>4</v>
      </c>
      <c r="C4" s="3" t="s">
        <v>1</v>
      </c>
    </row>
    <row r="5" spans="2:3" x14ac:dyDescent="0.35">
      <c r="B5" s="1" t="s">
        <v>5</v>
      </c>
      <c r="C5" s="3" t="s">
        <v>1</v>
      </c>
    </row>
    <row r="6" spans="2:3" x14ac:dyDescent="0.35">
      <c r="B6" s="1" t="s">
        <v>6</v>
      </c>
      <c r="C6" s="3" t="s">
        <v>1</v>
      </c>
    </row>
    <row r="7" spans="2:3" x14ac:dyDescent="0.35">
      <c r="B7" s="1" t="s">
        <v>7</v>
      </c>
      <c r="C7" s="3" t="s">
        <v>1</v>
      </c>
    </row>
    <row r="8" spans="2:3" x14ac:dyDescent="0.35">
      <c r="B8" s="1" t="s">
        <v>8</v>
      </c>
      <c r="C8" s="3" t="s">
        <v>1</v>
      </c>
    </row>
    <row r="9" spans="2:3" x14ac:dyDescent="0.35">
      <c r="B9" s="1" t="s">
        <v>9</v>
      </c>
      <c r="C9" s="3" t="s">
        <v>1</v>
      </c>
    </row>
    <row r="10" spans="2:3" x14ac:dyDescent="0.35">
      <c r="B10" s="1" t="s">
        <v>10</v>
      </c>
      <c r="C10" s="3" t="s">
        <v>1</v>
      </c>
    </row>
    <row r="11" spans="2:3" x14ac:dyDescent="0.35">
      <c r="B11" s="1" t="s">
        <v>11</v>
      </c>
      <c r="C11" s="3" t="s">
        <v>1</v>
      </c>
    </row>
    <row r="13" spans="2:3" x14ac:dyDescent="0.35">
      <c r="B13" s="1" t="s">
        <v>12</v>
      </c>
      <c r="C13" s="3" t="s">
        <v>1</v>
      </c>
    </row>
    <row r="14" spans="2:3" x14ac:dyDescent="0.35">
      <c r="B14" s="1" t="s">
        <v>13</v>
      </c>
      <c r="C14" s="3" t="s">
        <v>1</v>
      </c>
    </row>
    <row r="15" spans="2:3" x14ac:dyDescent="0.35">
      <c r="B15" s="1" t="s">
        <v>14</v>
      </c>
      <c r="C15" s="3" t="s">
        <v>1</v>
      </c>
    </row>
    <row r="16" spans="2:3" x14ac:dyDescent="0.35">
      <c r="B16" s="1" t="s">
        <v>15</v>
      </c>
      <c r="C16" s="3" t="s">
        <v>1</v>
      </c>
    </row>
    <row r="17" spans="2:3" x14ac:dyDescent="0.35">
      <c r="B17" s="1" t="s">
        <v>16</v>
      </c>
      <c r="C17" s="3" t="s">
        <v>1</v>
      </c>
    </row>
    <row r="18" spans="2:3" x14ac:dyDescent="0.35">
      <c r="B18" s="1" t="s">
        <v>17</v>
      </c>
      <c r="C18" s="3" t="s">
        <v>1</v>
      </c>
    </row>
    <row r="19" spans="2:3" x14ac:dyDescent="0.35">
      <c r="B19" s="1" t="s">
        <v>18</v>
      </c>
      <c r="C19" s="3" t="s">
        <v>1</v>
      </c>
    </row>
    <row r="20" spans="2:3" x14ac:dyDescent="0.35">
      <c r="B20" s="1" t="s">
        <v>19</v>
      </c>
      <c r="C20" s="3" t="s">
        <v>1</v>
      </c>
    </row>
    <row r="21" spans="2:3" x14ac:dyDescent="0.35">
      <c r="B21" s="1" t="s">
        <v>20</v>
      </c>
      <c r="C21" s="3" t="s">
        <v>1</v>
      </c>
    </row>
    <row r="22" spans="2:3" x14ac:dyDescent="0.35">
      <c r="B22" s="1" t="s">
        <v>21</v>
      </c>
      <c r="C22" s="3" t="s">
        <v>1</v>
      </c>
    </row>
    <row r="23" spans="2:3" x14ac:dyDescent="0.35">
      <c r="B23" s="1" t="s">
        <v>22</v>
      </c>
      <c r="C23" s="3" t="s">
        <v>1</v>
      </c>
    </row>
    <row r="24" spans="2:3" x14ac:dyDescent="0.35">
      <c r="B24" s="1" t="s">
        <v>23</v>
      </c>
      <c r="C24" s="3" t="s">
        <v>1</v>
      </c>
    </row>
    <row r="25" spans="2:3" x14ac:dyDescent="0.35">
      <c r="B25" s="1" t="s">
        <v>24</v>
      </c>
      <c r="C25" s="3" t="s">
        <v>1</v>
      </c>
    </row>
    <row r="26" spans="2:3" x14ac:dyDescent="0.35">
      <c r="B26" s="1" t="s">
        <v>25</v>
      </c>
      <c r="C26" s="3" t="s">
        <v>1</v>
      </c>
    </row>
    <row r="27" spans="2:3" x14ac:dyDescent="0.35">
      <c r="B27" s="1" t="s">
        <v>26</v>
      </c>
      <c r="C27" s="3" t="s">
        <v>1</v>
      </c>
    </row>
    <row r="28" spans="2:3" x14ac:dyDescent="0.35">
      <c r="B28" s="1" t="s">
        <v>27</v>
      </c>
      <c r="C28" s="3" t="s">
        <v>1</v>
      </c>
    </row>
    <row r="29" spans="2:3" x14ac:dyDescent="0.35">
      <c r="B29" s="1" t="s">
        <v>28</v>
      </c>
      <c r="C29" s="3" t="s">
        <v>1</v>
      </c>
    </row>
    <row r="30" spans="2:3" x14ac:dyDescent="0.35">
      <c r="B30" s="1" t="s">
        <v>29</v>
      </c>
      <c r="C30" s="3" t="s">
        <v>1</v>
      </c>
    </row>
    <row r="31" spans="2:3" x14ac:dyDescent="0.35">
      <c r="B31" s="1" t="s">
        <v>30</v>
      </c>
      <c r="C31" s="3" t="s">
        <v>1</v>
      </c>
    </row>
    <row r="32" spans="2:3" x14ac:dyDescent="0.35">
      <c r="B32" s="1" t="s">
        <v>31</v>
      </c>
      <c r="C32" s="3" t="s">
        <v>1</v>
      </c>
    </row>
    <row r="33" spans="2:3" x14ac:dyDescent="0.35">
      <c r="B33" s="1" t="s">
        <v>32</v>
      </c>
      <c r="C33" s="3" t="s">
        <v>1</v>
      </c>
    </row>
    <row r="34" spans="2:3" x14ac:dyDescent="0.35">
      <c r="B34" s="1" t="s">
        <v>33</v>
      </c>
      <c r="C34" s="3" t="s">
        <v>1</v>
      </c>
    </row>
    <row r="35" spans="2:3" x14ac:dyDescent="0.35">
      <c r="B35" s="1" t="s">
        <v>34</v>
      </c>
      <c r="C35" s="3" t="s">
        <v>1</v>
      </c>
    </row>
    <row r="36" spans="2:3" x14ac:dyDescent="0.35">
      <c r="B36" s="1" t="s">
        <v>35</v>
      </c>
      <c r="C36" s="3" t="s">
        <v>1</v>
      </c>
    </row>
    <row r="37" spans="2:3" x14ac:dyDescent="0.35">
      <c r="B37" s="1" t="s">
        <v>36</v>
      </c>
      <c r="C37" s="3" t="s">
        <v>1</v>
      </c>
    </row>
    <row r="38" spans="2:3" x14ac:dyDescent="0.35">
      <c r="B38" s="1" t="s">
        <v>37</v>
      </c>
      <c r="C38" s="3" t="s">
        <v>1</v>
      </c>
    </row>
    <row r="39" spans="2:3" x14ac:dyDescent="0.35">
      <c r="B39" s="1" t="s">
        <v>38</v>
      </c>
      <c r="C39" s="3" t="s">
        <v>1</v>
      </c>
    </row>
    <row r="40" spans="2:3" x14ac:dyDescent="0.35">
      <c r="B40" s="1" t="s">
        <v>39</v>
      </c>
      <c r="C40" s="3" t="s">
        <v>1</v>
      </c>
    </row>
    <row r="41" spans="2:3" x14ac:dyDescent="0.35">
      <c r="B41" s="1" t="s">
        <v>40</v>
      </c>
      <c r="C41" s="3" t="s">
        <v>1</v>
      </c>
    </row>
    <row r="42" spans="2:3" x14ac:dyDescent="0.35">
      <c r="B42" s="1" t="s">
        <v>41</v>
      </c>
      <c r="C42" s="3" t="s">
        <v>1</v>
      </c>
    </row>
    <row r="43" spans="2:3" x14ac:dyDescent="0.35">
      <c r="B43" s="1" t="s">
        <v>42</v>
      </c>
      <c r="C43" s="3" t="s">
        <v>1</v>
      </c>
    </row>
    <row r="44" spans="2:3" x14ac:dyDescent="0.35">
      <c r="B44" s="1" t="s">
        <v>43</v>
      </c>
      <c r="C44" s="3" t="s">
        <v>1</v>
      </c>
    </row>
    <row r="45" spans="2:3" x14ac:dyDescent="0.35">
      <c r="B45" s="1" t="s">
        <v>44</v>
      </c>
      <c r="C45" s="3" t="s">
        <v>1</v>
      </c>
    </row>
    <row r="46" spans="2:3" x14ac:dyDescent="0.35">
      <c r="B46" s="1" t="s">
        <v>45</v>
      </c>
      <c r="C46" s="3" t="s">
        <v>1</v>
      </c>
    </row>
    <row r="47" spans="2:3" x14ac:dyDescent="0.35">
      <c r="B47" s="1" t="s">
        <v>46</v>
      </c>
      <c r="C47" s="3" t="s">
        <v>1</v>
      </c>
    </row>
    <row r="48" spans="2:3" x14ac:dyDescent="0.35">
      <c r="B48" s="1" t="s">
        <v>47</v>
      </c>
      <c r="C48" s="3" t="s">
        <v>1</v>
      </c>
    </row>
    <row r="49" spans="2:3" x14ac:dyDescent="0.35">
      <c r="B49" s="1" t="s">
        <v>48</v>
      </c>
      <c r="C49" s="3" t="s">
        <v>1</v>
      </c>
    </row>
    <row r="50" spans="2:3" x14ac:dyDescent="0.35">
      <c r="B50" s="1" t="s">
        <v>49</v>
      </c>
      <c r="C50" s="3" t="s">
        <v>1</v>
      </c>
    </row>
    <row r="51" spans="2:3" x14ac:dyDescent="0.35">
      <c r="B51" s="1" t="s">
        <v>50</v>
      </c>
      <c r="C51" s="3" t="s">
        <v>1</v>
      </c>
    </row>
    <row r="52" spans="2:3" x14ac:dyDescent="0.35">
      <c r="B52" s="1" t="s">
        <v>51</v>
      </c>
      <c r="C52" s="3" t="s">
        <v>1</v>
      </c>
    </row>
    <row r="53" spans="2:3" x14ac:dyDescent="0.35">
      <c r="B53" s="1" t="s">
        <v>52</v>
      </c>
      <c r="C53" s="3" t="s">
        <v>1</v>
      </c>
    </row>
    <row r="54" spans="2:3" x14ac:dyDescent="0.35">
      <c r="B54" s="1" t="s">
        <v>53</v>
      </c>
      <c r="C54" s="3" t="s">
        <v>1</v>
      </c>
    </row>
    <row r="55" spans="2:3" x14ac:dyDescent="0.35">
      <c r="B55" s="1" t="s">
        <v>54</v>
      </c>
      <c r="C55" s="3" t="s">
        <v>1</v>
      </c>
    </row>
    <row r="56" spans="2:3" x14ac:dyDescent="0.35">
      <c r="B56" s="1" t="s">
        <v>55</v>
      </c>
      <c r="C56" s="3" t="s">
        <v>1</v>
      </c>
    </row>
    <row r="57" spans="2:3" x14ac:dyDescent="0.35">
      <c r="B57" s="1" t="s">
        <v>56</v>
      </c>
      <c r="C57" s="3" t="s">
        <v>1</v>
      </c>
    </row>
    <row r="58" spans="2:3" x14ac:dyDescent="0.35">
      <c r="B58" s="1" t="s">
        <v>57</v>
      </c>
      <c r="C58" s="3" t="s">
        <v>1</v>
      </c>
    </row>
    <row r="59" spans="2:3" x14ac:dyDescent="0.35">
      <c r="B59" s="1" t="s">
        <v>58</v>
      </c>
      <c r="C59" s="3" t="s">
        <v>1</v>
      </c>
    </row>
    <row r="60" spans="2:3" x14ac:dyDescent="0.35">
      <c r="B60" s="1" t="s">
        <v>59</v>
      </c>
      <c r="C60" s="3" t="s">
        <v>1</v>
      </c>
    </row>
    <row r="61" spans="2:3" x14ac:dyDescent="0.35">
      <c r="B61" s="1" t="s">
        <v>60</v>
      </c>
      <c r="C61" s="3" t="s">
        <v>1</v>
      </c>
    </row>
    <row r="62" spans="2:3" x14ac:dyDescent="0.35">
      <c r="B62" s="1" t="s">
        <v>61</v>
      </c>
      <c r="C62" s="3" t="s">
        <v>1</v>
      </c>
    </row>
    <row r="63" spans="2:3" x14ac:dyDescent="0.35">
      <c r="B63" s="1" t="s">
        <v>62</v>
      </c>
      <c r="C63" s="3" t="s">
        <v>1</v>
      </c>
    </row>
    <row r="64" spans="2:3" x14ac:dyDescent="0.35">
      <c r="B64" s="1" t="s">
        <v>63</v>
      </c>
      <c r="C64" s="3" t="s">
        <v>1</v>
      </c>
    </row>
    <row r="65" spans="2:3" x14ac:dyDescent="0.35">
      <c r="B65" s="1" t="s">
        <v>64</v>
      </c>
      <c r="C65" s="3" t="s">
        <v>1</v>
      </c>
    </row>
    <row r="66" spans="2:3" x14ac:dyDescent="0.35">
      <c r="B66" s="1" t="s">
        <v>65</v>
      </c>
      <c r="C66" s="3" t="s">
        <v>1</v>
      </c>
    </row>
    <row r="67" spans="2:3" x14ac:dyDescent="0.35">
      <c r="B67" s="1" t="s">
        <v>66</v>
      </c>
      <c r="C67" s="3" t="s">
        <v>1</v>
      </c>
    </row>
    <row r="68" spans="2:3" x14ac:dyDescent="0.35">
      <c r="B68" s="1" t="s">
        <v>67</v>
      </c>
      <c r="C68" s="3" t="s">
        <v>1</v>
      </c>
    </row>
    <row r="69" spans="2:3" x14ac:dyDescent="0.35">
      <c r="B69" s="1" t="s">
        <v>68</v>
      </c>
      <c r="C69" s="3" t="s">
        <v>1</v>
      </c>
    </row>
    <row r="70" spans="2:3" x14ac:dyDescent="0.35">
      <c r="B70" s="1" t="s">
        <v>69</v>
      </c>
      <c r="C70" s="3" t="s">
        <v>1</v>
      </c>
    </row>
    <row r="71" spans="2:3" x14ac:dyDescent="0.35">
      <c r="B71" s="1" t="s">
        <v>70</v>
      </c>
      <c r="C71" s="3" t="s">
        <v>1</v>
      </c>
    </row>
    <row r="72" spans="2:3" x14ac:dyDescent="0.35">
      <c r="B72" s="1" t="s">
        <v>71</v>
      </c>
      <c r="C72" s="3" t="s">
        <v>1</v>
      </c>
    </row>
    <row r="73" spans="2:3" x14ac:dyDescent="0.35">
      <c r="B73" s="1" t="s">
        <v>72</v>
      </c>
      <c r="C73" s="3" t="s">
        <v>1</v>
      </c>
    </row>
    <row r="74" spans="2:3" x14ac:dyDescent="0.35">
      <c r="B74" s="1" t="s">
        <v>73</v>
      </c>
      <c r="C74" s="3" t="s">
        <v>1</v>
      </c>
    </row>
    <row r="75" spans="2:3" x14ac:dyDescent="0.35">
      <c r="B75" s="1" t="s">
        <v>74</v>
      </c>
      <c r="C75" s="3" t="s">
        <v>1</v>
      </c>
    </row>
    <row r="76" spans="2:3" x14ac:dyDescent="0.35">
      <c r="B76" s="1" t="s">
        <v>75</v>
      </c>
      <c r="C76" s="3" t="s">
        <v>1</v>
      </c>
    </row>
    <row r="77" spans="2:3" x14ac:dyDescent="0.35">
      <c r="B77" s="1" t="s">
        <v>76</v>
      </c>
      <c r="C77" s="3" t="s">
        <v>1</v>
      </c>
    </row>
    <row r="78" spans="2:3" x14ac:dyDescent="0.35">
      <c r="B78" s="1" t="s">
        <v>77</v>
      </c>
      <c r="C78" s="3" t="s">
        <v>1</v>
      </c>
    </row>
    <row r="79" spans="2:3" x14ac:dyDescent="0.35">
      <c r="B79" s="1" t="s">
        <v>78</v>
      </c>
      <c r="C79" s="3" t="s">
        <v>1</v>
      </c>
    </row>
    <row r="80" spans="2:3" x14ac:dyDescent="0.35">
      <c r="B80" s="1" t="s">
        <v>79</v>
      </c>
      <c r="C80" s="3" t="s">
        <v>1</v>
      </c>
    </row>
    <row r="81" spans="2:3" x14ac:dyDescent="0.35">
      <c r="B81" s="1" t="s">
        <v>80</v>
      </c>
      <c r="C81" s="3" t="s">
        <v>1</v>
      </c>
    </row>
    <row r="82" spans="2:3" x14ac:dyDescent="0.35">
      <c r="B82" s="1" t="s">
        <v>81</v>
      </c>
      <c r="C82" s="3" t="s">
        <v>1</v>
      </c>
    </row>
    <row r="83" spans="2:3" x14ac:dyDescent="0.35">
      <c r="B83" s="1" t="s">
        <v>82</v>
      </c>
      <c r="C83" s="3" t="s">
        <v>1</v>
      </c>
    </row>
    <row r="84" spans="2:3" x14ac:dyDescent="0.35">
      <c r="B84" s="1" t="s">
        <v>83</v>
      </c>
      <c r="C84" s="3" t="s">
        <v>1</v>
      </c>
    </row>
    <row r="85" spans="2:3" x14ac:dyDescent="0.35">
      <c r="B85" s="1" t="s">
        <v>84</v>
      </c>
      <c r="C85" s="3" t="s">
        <v>1</v>
      </c>
    </row>
    <row r="86" spans="2:3" x14ac:dyDescent="0.35">
      <c r="B86" s="1" t="s">
        <v>85</v>
      </c>
      <c r="C86" s="3" t="s">
        <v>1</v>
      </c>
    </row>
    <row r="87" spans="2:3" x14ac:dyDescent="0.35">
      <c r="B87" s="1" t="s">
        <v>86</v>
      </c>
      <c r="C87" s="3" t="s">
        <v>1</v>
      </c>
    </row>
    <row r="88" spans="2:3" x14ac:dyDescent="0.35">
      <c r="B88" s="1" t="s">
        <v>87</v>
      </c>
      <c r="C88" s="3" t="s">
        <v>1</v>
      </c>
    </row>
    <row r="89" spans="2:3" x14ac:dyDescent="0.35">
      <c r="B89" s="1" t="s">
        <v>88</v>
      </c>
      <c r="C89" s="3" t="s">
        <v>1</v>
      </c>
    </row>
    <row r="90" spans="2:3" x14ac:dyDescent="0.35">
      <c r="B90" s="1" t="s">
        <v>89</v>
      </c>
      <c r="C90" s="3" t="s">
        <v>1</v>
      </c>
    </row>
    <row r="91" spans="2:3" x14ac:dyDescent="0.35">
      <c r="B91" s="1" t="s">
        <v>90</v>
      </c>
      <c r="C91" s="3" t="s">
        <v>1</v>
      </c>
    </row>
    <row r="92" spans="2:3" x14ac:dyDescent="0.35">
      <c r="B92" s="1" t="s">
        <v>91</v>
      </c>
      <c r="C92" s="3" t="s">
        <v>1</v>
      </c>
    </row>
    <row r="93" spans="2:3" x14ac:dyDescent="0.35">
      <c r="B93" s="1" t="s">
        <v>92</v>
      </c>
      <c r="C93" s="3" t="s">
        <v>1</v>
      </c>
    </row>
    <row r="94" spans="2:3" x14ac:dyDescent="0.35">
      <c r="B94" s="1" t="s">
        <v>93</v>
      </c>
      <c r="C94" s="3" t="s">
        <v>1</v>
      </c>
    </row>
    <row r="95" spans="2:3" x14ac:dyDescent="0.35">
      <c r="B95" s="1" t="s">
        <v>94</v>
      </c>
      <c r="C95" s="3" t="s">
        <v>1</v>
      </c>
    </row>
    <row r="96" spans="2:3" x14ac:dyDescent="0.35">
      <c r="B96" s="1" t="s">
        <v>95</v>
      </c>
      <c r="C96" s="3" t="s">
        <v>1</v>
      </c>
    </row>
    <row r="97" spans="2:3" x14ac:dyDescent="0.35">
      <c r="B97" s="1" t="s">
        <v>96</v>
      </c>
      <c r="C97" s="3" t="s">
        <v>1</v>
      </c>
    </row>
    <row r="98" spans="2:3" x14ac:dyDescent="0.35">
      <c r="B98" s="1" t="s">
        <v>97</v>
      </c>
      <c r="C98" s="3" t="s">
        <v>1</v>
      </c>
    </row>
    <row r="99" spans="2:3" x14ac:dyDescent="0.35">
      <c r="B99" s="1" t="s">
        <v>98</v>
      </c>
      <c r="C99" s="3" t="s">
        <v>1</v>
      </c>
    </row>
    <row r="100" spans="2:3" x14ac:dyDescent="0.35">
      <c r="B100" s="1" t="s">
        <v>99</v>
      </c>
      <c r="C100" s="3" t="s">
        <v>1</v>
      </c>
    </row>
    <row r="101" spans="2:3" x14ac:dyDescent="0.35">
      <c r="B101" s="1" t="s">
        <v>100</v>
      </c>
      <c r="C101" s="3" t="s">
        <v>1</v>
      </c>
    </row>
    <row r="102" spans="2:3" x14ac:dyDescent="0.35">
      <c r="B102" s="1" t="s">
        <v>101</v>
      </c>
      <c r="C102" s="3" t="s">
        <v>1</v>
      </c>
    </row>
    <row r="103" spans="2:3" x14ac:dyDescent="0.35">
      <c r="B103" s="1" t="s">
        <v>102</v>
      </c>
      <c r="C103" s="3" t="s">
        <v>1</v>
      </c>
    </row>
    <row r="104" spans="2:3" x14ac:dyDescent="0.35">
      <c r="B104" s="1" t="s">
        <v>103</v>
      </c>
      <c r="C104" s="3" t="s">
        <v>1</v>
      </c>
    </row>
    <row r="105" spans="2:3" x14ac:dyDescent="0.35">
      <c r="B105" s="1" t="s">
        <v>104</v>
      </c>
      <c r="C105" s="3" t="s">
        <v>1</v>
      </c>
    </row>
    <row r="106" spans="2:3" x14ac:dyDescent="0.35">
      <c r="B106" s="1" t="s">
        <v>105</v>
      </c>
      <c r="C106" s="3" t="s">
        <v>1</v>
      </c>
    </row>
    <row r="107" spans="2:3" x14ac:dyDescent="0.35">
      <c r="B107" s="1" t="s">
        <v>106</v>
      </c>
      <c r="C107" s="3" t="s">
        <v>1</v>
      </c>
    </row>
    <row r="108" spans="2:3" x14ac:dyDescent="0.35">
      <c r="B108" s="1" t="s">
        <v>107</v>
      </c>
      <c r="C108" s="3" t="s">
        <v>1</v>
      </c>
    </row>
    <row r="109" spans="2:3" x14ac:dyDescent="0.35">
      <c r="B109" s="1" t="s">
        <v>108</v>
      </c>
      <c r="C109" s="3" t="s">
        <v>1</v>
      </c>
    </row>
    <row r="110" spans="2:3" x14ac:dyDescent="0.35">
      <c r="B110" s="1" t="s">
        <v>109</v>
      </c>
      <c r="C110" s="3" t="s">
        <v>1</v>
      </c>
    </row>
    <row r="111" spans="2:3" x14ac:dyDescent="0.35">
      <c r="B111" s="1" t="s">
        <v>110</v>
      </c>
      <c r="C111" s="3" t="s">
        <v>1</v>
      </c>
    </row>
    <row r="112" spans="2:3" x14ac:dyDescent="0.35">
      <c r="B112" s="1" t="s">
        <v>111</v>
      </c>
      <c r="C112" s="3" t="s">
        <v>1</v>
      </c>
    </row>
    <row r="113" spans="2:3" x14ac:dyDescent="0.35">
      <c r="B113" s="1" t="s">
        <v>112</v>
      </c>
      <c r="C113" s="3" t="s">
        <v>1</v>
      </c>
    </row>
    <row r="114" spans="2:3" x14ac:dyDescent="0.35">
      <c r="B114" s="1" t="s">
        <v>113</v>
      </c>
      <c r="C114" s="3" t="s">
        <v>1</v>
      </c>
    </row>
    <row r="115" spans="2:3" x14ac:dyDescent="0.35">
      <c r="B115" s="1" t="s">
        <v>114</v>
      </c>
      <c r="C115" s="3" t="s">
        <v>1</v>
      </c>
    </row>
    <row r="116" spans="2:3" x14ac:dyDescent="0.35">
      <c r="B116" s="1" t="s">
        <v>115</v>
      </c>
      <c r="C116" s="3" t="s">
        <v>1</v>
      </c>
    </row>
    <row r="117" spans="2:3" x14ac:dyDescent="0.35">
      <c r="B117" s="1" t="s">
        <v>116</v>
      </c>
      <c r="C117" s="3" t="s">
        <v>1</v>
      </c>
    </row>
    <row r="118" spans="2:3" x14ac:dyDescent="0.35">
      <c r="B118" s="1" t="s">
        <v>117</v>
      </c>
      <c r="C118" s="3" t="s">
        <v>1</v>
      </c>
    </row>
    <row r="119" spans="2:3" x14ac:dyDescent="0.35">
      <c r="B119" s="1" t="s">
        <v>118</v>
      </c>
      <c r="C119" s="3" t="s">
        <v>1</v>
      </c>
    </row>
    <row r="120" spans="2:3" x14ac:dyDescent="0.35">
      <c r="B120" s="1" t="s">
        <v>119</v>
      </c>
      <c r="C120" s="3" t="s">
        <v>1</v>
      </c>
    </row>
    <row r="121" spans="2:3" x14ac:dyDescent="0.35">
      <c r="B121" s="1" t="s">
        <v>120</v>
      </c>
      <c r="C121" s="3" t="s">
        <v>1</v>
      </c>
    </row>
    <row r="122" spans="2:3" x14ac:dyDescent="0.35">
      <c r="B122" s="1" t="s">
        <v>121</v>
      </c>
      <c r="C122" s="3" t="s">
        <v>1</v>
      </c>
    </row>
    <row r="123" spans="2:3" x14ac:dyDescent="0.35">
      <c r="B123" s="1" t="s">
        <v>122</v>
      </c>
      <c r="C123" s="3" t="s">
        <v>1</v>
      </c>
    </row>
    <row r="124" spans="2:3" x14ac:dyDescent="0.35">
      <c r="B124" s="1" t="s">
        <v>123</v>
      </c>
      <c r="C124" s="3" t="s">
        <v>1</v>
      </c>
    </row>
    <row r="125" spans="2:3" x14ac:dyDescent="0.35">
      <c r="B125" s="1" t="s">
        <v>124</v>
      </c>
      <c r="C125" s="3" t="s">
        <v>1</v>
      </c>
    </row>
    <row r="126" spans="2:3" x14ac:dyDescent="0.35">
      <c r="B126" s="1" t="s">
        <v>125</v>
      </c>
      <c r="C126" s="3" t="s">
        <v>1</v>
      </c>
    </row>
    <row r="127" spans="2:3" x14ac:dyDescent="0.35">
      <c r="B127" s="1" t="s">
        <v>126</v>
      </c>
      <c r="C127" s="3" t="s">
        <v>1</v>
      </c>
    </row>
    <row r="128" spans="2:3" x14ac:dyDescent="0.35">
      <c r="B128" s="1" t="s">
        <v>127</v>
      </c>
      <c r="C128" s="3" t="s">
        <v>1</v>
      </c>
    </row>
    <row r="129" spans="2:3" x14ac:dyDescent="0.35">
      <c r="B129" s="1" t="s">
        <v>128</v>
      </c>
      <c r="C129" s="3" t="s">
        <v>1</v>
      </c>
    </row>
    <row r="130" spans="2:3" x14ac:dyDescent="0.35">
      <c r="B130" s="1" t="s">
        <v>129</v>
      </c>
      <c r="C130" s="3" t="s">
        <v>1</v>
      </c>
    </row>
    <row r="131" spans="2:3" x14ac:dyDescent="0.35">
      <c r="B131" s="1" t="s">
        <v>130</v>
      </c>
      <c r="C131" s="3" t="s">
        <v>1</v>
      </c>
    </row>
    <row r="132" spans="2:3" x14ac:dyDescent="0.35">
      <c r="B132" s="1" t="s">
        <v>131</v>
      </c>
      <c r="C132" s="3" t="s">
        <v>1</v>
      </c>
    </row>
    <row r="133" spans="2:3" x14ac:dyDescent="0.35">
      <c r="B133" s="1" t="s">
        <v>132</v>
      </c>
      <c r="C133" s="3" t="s">
        <v>1</v>
      </c>
    </row>
    <row r="134" spans="2:3" x14ac:dyDescent="0.35">
      <c r="B134" s="1" t="s">
        <v>133</v>
      </c>
      <c r="C134" s="3" t="s">
        <v>1</v>
      </c>
    </row>
    <row r="135" spans="2:3" x14ac:dyDescent="0.35">
      <c r="B135" s="1" t="s">
        <v>134</v>
      </c>
      <c r="C135" s="3" t="s">
        <v>1</v>
      </c>
    </row>
    <row r="136" spans="2:3" x14ac:dyDescent="0.35">
      <c r="B136" s="1" t="s">
        <v>135</v>
      </c>
      <c r="C136" s="3" t="s">
        <v>1</v>
      </c>
    </row>
    <row r="137" spans="2:3" x14ac:dyDescent="0.35">
      <c r="B137" s="1" t="s">
        <v>136</v>
      </c>
      <c r="C137" s="3" t="s">
        <v>1</v>
      </c>
    </row>
    <row r="138" spans="2:3" x14ac:dyDescent="0.35">
      <c r="B138" s="1" t="s">
        <v>137</v>
      </c>
      <c r="C138" s="3" t="s">
        <v>1</v>
      </c>
    </row>
    <row r="139" spans="2:3" x14ac:dyDescent="0.35">
      <c r="B139" s="1" t="s">
        <v>138</v>
      </c>
      <c r="C139" s="3" t="s">
        <v>1</v>
      </c>
    </row>
    <row r="140" spans="2:3" x14ac:dyDescent="0.35">
      <c r="B140" s="1" t="s">
        <v>139</v>
      </c>
      <c r="C140" s="3" t="s">
        <v>1</v>
      </c>
    </row>
    <row r="141" spans="2:3" x14ac:dyDescent="0.35">
      <c r="B141" s="1" t="s">
        <v>140</v>
      </c>
      <c r="C141" s="3" t="s">
        <v>1</v>
      </c>
    </row>
    <row r="142" spans="2:3" x14ac:dyDescent="0.35">
      <c r="B142" s="1" t="s">
        <v>141</v>
      </c>
      <c r="C142" s="3" t="s">
        <v>1</v>
      </c>
    </row>
    <row r="143" spans="2:3" x14ac:dyDescent="0.35">
      <c r="B143" s="1" t="s">
        <v>142</v>
      </c>
      <c r="C143" s="3" t="s">
        <v>1</v>
      </c>
    </row>
    <row r="144" spans="2:3" x14ac:dyDescent="0.35">
      <c r="B144" s="1" t="s">
        <v>143</v>
      </c>
      <c r="C144" s="3" t="s">
        <v>1</v>
      </c>
    </row>
    <row r="145" spans="2:3" x14ac:dyDescent="0.35">
      <c r="B145" s="1" t="s">
        <v>144</v>
      </c>
      <c r="C145" s="3" t="s">
        <v>1</v>
      </c>
    </row>
    <row r="146" spans="2:3" x14ac:dyDescent="0.35">
      <c r="B146" s="1" t="s">
        <v>145</v>
      </c>
      <c r="C146" s="3" t="s">
        <v>1</v>
      </c>
    </row>
    <row r="147" spans="2:3" x14ac:dyDescent="0.35">
      <c r="B147" s="1" t="s">
        <v>146</v>
      </c>
      <c r="C147" s="3" t="s">
        <v>1</v>
      </c>
    </row>
    <row r="148" spans="2:3" x14ac:dyDescent="0.35">
      <c r="B148" s="1" t="s">
        <v>147</v>
      </c>
      <c r="C148" s="3" t="s">
        <v>1</v>
      </c>
    </row>
    <row r="149" spans="2:3" x14ac:dyDescent="0.35">
      <c r="B149" s="1" t="s">
        <v>148</v>
      </c>
      <c r="C149" s="3" t="s">
        <v>1</v>
      </c>
    </row>
    <row r="150" spans="2:3" x14ac:dyDescent="0.35">
      <c r="B150" s="1" t="s">
        <v>149</v>
      </c>
      <c r="C150" s="3" t="s">
        <v>1</v>
      </c>
    </row>
    <row r="151" spans="2:3" x14ac:dyDescent="0.35">
      <c r="B151" s="1" t="s">
        <v>150</v>
      </c>
      <c r="C151" s="3" t="s">
        <v>1</v>
      </c>
    </row>
    <row r="152" spans="2:3" x14ac:dyDescent="0.35">
      <c r="B152" s="1" t="s">
        <v>151</v>
      </c>
      <c r="C152" s="3" t="s">
        <v>1</v>
      </c>
    </row>
    <row r="153" spans="2:3" x14ac:dyDescent="0.35">
      <c r="B153" s="1" t="s">
        <v>152</v>
      </c>
      <c r="C153" s="3" t="s">
        <v>1</v>
      </c>
    </row>
    <row r="154" spans="2:3" x14ac:dyDescent="0.35">
      <c r="B154" s="1" t="s">
        <v>153</v>
      </c>
      <c r="C154" s="3" t="s">
        <v>1</v>
      </c>
    </row>
    <row r="155" spans="2:3" x14ac:dyDescent="0.35">
      <c r="B155" s="1" t="s">
        <v>154</v>
      </c>
      <c r="C155" s="3" t="s">
        <v>1</v>
      </c>
    </row>
    <row r="156" spans="2:3" x14ac:dyDescent="0.35">
      <c r="B156" s="1" t="s">
        <v>155</v>
      </c>
      <c r="C156" s="3" t="s">
        <v>1</v>
      </c>
    </row>
    <row r="157" spans="2:3" x14ac:dyDescent="0.35">
      <c r="B157" s="1" t="s">
        <v>156</v>
      </c>
      <c r="C157" s="3" t="s">
        <v>1</v>
      </c>
    </row>
    <row r="158" spans="2:3" x14ac:dyDescent="0.35">
      <c r="B158" s="1" t="s">
        <v>157</v>
      </c>
      <c r="C158" s="3" t="s">
        <v>1</v>
      </c>
    </row>
    <row r="159" spans="2:3" x14ac:dyDescent="0.35">
      <c r="B159" s="1" t="s">
        <v>158</v>
      </c>
      <c r="C159" s="3" t="s">
        <v>1</v>
      </c>
    </row>
    <row r="160" spans="2:3" x14ac:dyDescent="0.35">
      <c r="B160" s="1" t="s">
        <v>159</v>
      </c>
      <c r="C160" s="3" t="s">
        <v>1</v>
      </c>
    </row>
    <row r="161" spans="2:3" x14ac:dyDescent="0.35">
      <c r="B161" s="1" t="s">
        <v>160</v>
      </c>
      <c r="C161" s="3" t="s">
        <v>1</v>
      </c>
    </row>
    <row r="162" spans="2:3" x14ac:dyDescent="0.35">
      <c r="B162" s="1" t="s">
        <v>161</v>
      </c>
      <c r="C162" s="3" t="s">
        <v>1</v>
      </c>
    </row>
    <row r="163" spans="2:3" x14ac:dyDescent="0.35">
      <c r="B163" s="1" t="s">
        <v>162</v>
      </c>
      <c r="C163" s="3" t="s">
        <v>1</v>
      </c>
    </row>
    <row r="164" spans="2:3" x14ac:dyDescent="0.35">
      <c r="B164" s="1" t="s">
        <v>163</v>
      </c>
      <c r="C164" s="3" t="s">
        <v>1</v>
      </c>
    </row>
    <row r="165" spans="2:3" x14ac:dyDescent="0.35">
      <c r="B165" s="1" t="s">
        <v>164</v>
      </c>
      <c r="C165" s="3" t="s">
        <v>1</v>
      </c>
    </row>
    <row r="166" spans="2:3" x14ac:dyDescent="0.35">
      <c r="B166" s="1" t="s">
        <v>165</v>
      </c>
      <c r="C166" s="3" t="s">
        <v>1</v>
      </c>
    </row>
    <row r="167" spans="2:3" x14ac:dyDescent="0.35">
      <c r="B167" s="1" t="s">
        <v>166</v>
      </c>
      <c r="C167" s="3" t="s">
        <v>1</v>
      </c>
    </row>
    <row r="168" spans="2:3" x14ac:dyDescent="0.35">
      <c r="B168" s="1" t="s">
        <v>167</v>
      </c>
      <c r="C168" s="3" t="s">
        <v>1</v>
      </c>
    </row>
    <row r="169" spans="2:3" x14ac:dyDescent="0.35">
      <c r="B169" s="1" t="s">
        <v>168</v>
      </c>
      <c r="C169" s="3" t="s">
        <v>1</v>
      </c>
    </row>
    <row r="170" spans="2:3" x14ac:dyDescent="0.35">
      <c r="B170" s="1" t="s">
        <v>169</v>
      </c>
      <c r="C170" s="3" t="s">
        <v>1</v>
      </c>
    </row>
    <row r="171" spans="2:3" x14ac:dyDescent="0.35">
      <c r="B171" s="1" t="s">
        <v>170</v>
      </c>
      <c r="C171" s="3" t="s">
        <v>1</v>
      </c>
    </row>
    <row r="172" spans="2:3" x14ac:dyDescent="0.35">
      <c r="B172" s="1" t="s">
        <v>171</v>
      </c>
      <c r="C172" s="3" t="s">
        <v>1</v>
      </c>
    </row>
    <row r="173" spans="2:3" x14ac:dyDescent="0.35">
      <c r="B173" s="1" t="s">
        <v>172</v>
      </c>
      <c r="C173" s="3" t="s">
        <v>1</v>
      </c>
    </row>
    <row r="175" spans="2:3" x14ac:dyDescent="0.35">
      <c r="B175" s="1" t="s">
        <v>173</v>
      </c>
      <c r="C175" s="3" t="s">
        <v>1</v>
      </c>
    </row>
    <row r="176" spans="2:3" x14ac:dyDescent="0.35">
      <c r="B176" s="1" t="s">
        <v>174</v>
      </c>
      <c r="C176" s="3" t="s">
        <v>1</v>
      </c>
    </row>
    <row r="177" spans="2:3" x14ac:dyDescent="0.35">
      <c r="B177" s="1" t="s">
        <v>175</v>
      </c>
      <c r="C177" s="3" t="s">
        <v>1</v>
      </c>
    </row>
    <row r="178" spans="2:3" x14ac:dyDescent="0.35">
      <c r="B178" s="1" t="s">
        <v>176</v>
      </c>
      <c r="C178" s="3" t="s">
        <v>1</v>
      </c>
    </row>
    <row r="179" spans="2:3" x14ac:dyDescent="0.35">
      <c r="B179" s="1" t="s">
        <v>177</v>
      </c>
      <c r="C179" s="3" t="s">
        <v>1</v>
      </c>
    </row>
    <row r="180" spans="2:3" x14ac:dyDescent="0.35">
      <c r="B180" s="1" t="s">
        <v>178</v>
      </c>
      <c r="C180" s="3" t="s">
        <v>1</v>
      </c>
    </row>
    <row r="181" spans="2:3" x14ac:dyDescent="0.35">
      <c r="B181" s="1" t="s">
        <v>179</v>
      </c>
      <c r="C181" s="3" t="s">
        <v>1</v>
      </c>
    </row>
    <row r="183" spans="2:3" x14ac:dyDescent="0.35">
      <c r="B183" s="1" t="s">
        <v>180</v>
      </c>
      <c r="C183" s="3" t="s">
        <v>1</v>
      </c>
    </row>
    <row r="184" spans="2:3" x14ac:dyDescent="0.35">
      <c r="B184" s="1" t="s">
        <v>181</v>
      </c>
      <c r="C184" s="3" t="s">
        <v>1</v>
      </c>
    </row>
    <row r="185" spans="2:3" x14ac:dyDescent="0.35">
      <c r="B185" s="1" t="s">
        <v>182</v>
      </c>
      <c r="C185" s="3" t="s">
        <v>1</v>
      </c>
    </row>
    <row r="186" spans="2:3" x14ac:dyDescent="0.35">
      <c r="B186" s="1" t="s">
        <v>183</v>
      </c>
      <c r="C186" s="3" t="s">
        <v>1</v>
      </c>
    </row>
    <row r="187" spans="2:3" x14ac:dyDescent="0.35">
      <c r="B187" s="1" t="s">
        <v>184</v>
      </c>
      <c r="C187" s="3" t="s">
        <v>1</v>
      </c>
    </row>
    <row r="188" spans="2:3" x14ac:dyDescent="0.35">
      <c r="B188" s="1" t="s">
        <v>185</v>
      </c>
      <c r="C188" s="3" t="s">
        <v>1</v>
      </c>
    </row>
    <row r="189" spans="2:3" x14ac:dyDescent="0.35">
      <c r="B189" s="1" t="s">
        <v>186</v>
      </c>
      <c r="C189" s="3" t="s">
        <v>1</v>
      </c>
    </row>
    <row r="190" spans="2:3" x14ac:dyDescent="0.35">
      <c r="B190" s="1" t="s">
        <v>187</v>
      </c>
      <c r="C190" s="3" t="s">
        <v>1</v>
      </c>
    </row>
    <row r="191" spans="2:3" x14ac:dyDescent="0.35">
      <c r="B191" s="1" t="s">
        <v>188</v>
      </c>
      <c r="C191" s="3" t="s">
        <v>1</v>
      </c>
    </row>
    <row r="192" spans="2:3" x14ac:dyDescent="0.35">
      <c r="B192" s="1" t="s">
        <v>189</v>
      </c>
      <c r="C192" s="3" t="s">
        <v>1</v>
      </c>
    </row>
    <row r="193" spans="2:3" x14ac:dyDescent="0.35">
      <c r="B193" s="1" t="s">
        <v>190</v>
      </c>
      <c r="C193" s="3" t="s">
        <v>1</v>
      </c>
    </row>
    <row r="194" spans="2:3" x14ac:dyDescent="0.35">
      <c r="B194" s="1" t="s">
        <v>191</v>
      </c>
      <c r="C194" s="3" t="s">
        <v>1</v>
      </c>
    </row>
    <row r="195" spans="2:3" x14ac:dyDescent="0.35">
      <c r="B195" s="1" t="s">
        <v>192</v>
      </c>
      <c r="C195" s="3" t="s">
        <v>1</v>
      </c>
    </row>
    <row r="196" spans="2:3" x14ac:dyDescent="0.35">
      <c r="B196" s="1" t="s">
        <v>193</v>
      </c>
      <c r="C196" s="3" t="s">
        <v>1</v>
      </c>
    </row>
    <row r="197" spans="2:3" x14ac:dyDescent="0.35">
      <c r="B197" s="1" t="s">
        <v>194</v>
      </c>
      <c r="C197" s="3" t="s">
        <v>1</v>
      </c>
    </row>
    <row r="198" spans="2:3" x14ac:dyDescent="0.35">
      <c r="B198" s="1" t="s">
        <v>195</v>
      </c>
      <c r="C198" s="3" t="s">
        <v>1</v>
      </c>
    </row>
    <row r="199" spans="2:3" x14ac:dyDescent="0.35">
      <c r="B199" s="1" t="s">
        <v>196</v>
      </c>
      <c r="C199" s="3" t="s">
        <v>1</v>
      </c>
    </row>
    <row r="200" spans="2:3" x14ac:dyDescent="0.35">
      <c r="B200" s="1" t="s">
        <v>197</v>
      </c>
      <c r="C200" s="3" t="s">
        <v>1</v>
      </c>
    </row>
    <row r="201" spans="2:3" x14ac:dyDescent="0.35">
      <c r="B201" s="1" t="s">
        <v>198</v>
      </c>
      <c r="C201" s="3" t="s">
        <v>1</v>
      </c>
    </row>
    <row r="202" spans="2:3" x14ac:dyDescent="0.35">
      <c r="B202" s="1" t="s">
        <v>199</v>
      </c>
      <c r="C202" s="3" t="s">
        <v>1</v>
      </c>
    </row>
    <row r="203" spans="2:3" x14ac:dyDescent="0.35">
      <c r="B203" s="1" t="s">
        <v>200</v>
      </c>
      <c r="C203" s="3" t="s">
        <v>1</v>
      </c>
    </row>
    <row r="204" spans="2:3" x14ac:dyDescent="0.35">
      <c r="B204" s="1" t="s">
        <v>201</v>
      </c>
      <c r="C204" s="3" t="s">
        <v>1</v>
      </c>
    </row>
    <row r="205" spans="2:3" x14ac:dyDescent="0.35">
      <c r="B205" s="1" t="s">
        <v>202</v>
      </c>
      <c r="C205" s="3" t="s">
        <v>1</v>
      </c>
    </row>
    <row r="206" spans="2:3" x14ac:dyDescent="0.35">
      <c r="B206" s="1" t="s">
        <v>203</v>
      </c>
      <c r="C206" s="3" t="s">
        <v>1</v>
      </c>
    </row>
    <row r="207" spans="2:3" x14ac:dyDescent="0.35">
      <c r="B207" s="1" t="s">
        <v>204</v>
      </c>
      <c r="C207" s="3" t="s">
        <v>1</v>
      </c>
    </row>
    <row r="208" spans="2:3" x14ac:dyDescent="0.35">
      <c r="B208" s="1" t="s">
        <v>205</v>
      </c>
      <c r="C208" s="3" t="s">
        <v>1</v>
      </c>
    </row>
    <row r="209" spans="2:3" x14ac:dyDescent="0.35">
      <c r="B209" s="1" t="s">
        <v>206</v>
      </c>
      <c r="C209" s="3" t="s">
        <v>1</v>
      </c>
    </row>
    <row r="210" spans="2:3" x14ac:dyDescent="0.35">
      <c r="B210" s="1" t="s">
        <v>207</v>
      </c>
      <c r="C210" s="3" t="s">
        <v>1</v>
      </c>
    </row>
    <row r="211" spans="2:3" x14ac:dyDescent="0.35">
      <c r="B211" s="1" t="s">
        <v>208</v>
      </c>
      <c r="C211" s="3" t="s">
        <v>1</v>
      </c>
    </row>
    <row r="212" spans="2:3" x14ac:dyDescent="0.35">
      <c r="B212" s="1" t="s">
        <v>209</v>
      </c>
      <c r="C212" s="3" t="s">
        <v>1</v>
      </c>
    </row>
    <row r="213" spans="2:3" x14ac:dyDescent="0.35">
      <c r="B213" s="1" t="s">
        <v>210</v>
      </c>
      <c r="C213" s="3" t="s">
        <v>1</v>
      </c>
    </row>
    <row r="214" spans="2:3" x14ac:dyDescent="0.35">
      <c r="B214" s="1" t="s">
        <v>211</v>
      </c>
      <c r="C214" s="3" t="s">
        <v>1</v>
      </c>
    </row>
    <row r="215" spans="2:3" x14ac:dyDescent="0.35">
      <c r="B215" s="1" t="s">
        <v>212</v>
      </c>
      <c r="C215" s="3" t="s">
        <v>1</v>
      </c>
    </row>
    <row r="216" spans="2:3" x14ac:dyDescent="0.35">
      <c r="B216" s="1" t="s">
        <v>213</v>
      </c>
      <c r="C216" s="3" t="s">
        <v>1</v>
      </c>
    </row>
    <row r="217" spans="2:3" x14ac:dyDescent="0.35">
      <c r="B217" s="1" t="s">
        <v>214</v>
      </c>
      <c r="C217" s="3" t="s">
        <v>1</v>
      </c>
    </row>
    <row r="218" spans="2:3" x14ac:dyDescent="0.35">
      <c r="B218" s="1" t="s">
        <v>215</v>
      </c>
      <c r="C218" s="3" t="s">
        <v>1</v>
      </c>
    </row>
    <row r="219" spans="2:3" x14ac:dyDescent="0.35">
      <c r="B219" s="1" t="s">
        <v>216</v>
      </c>
      <c r="C219" s="3" t="s">
        <v>1</v>
      </c>
    </row>
    <row r="220" spans="2:3" x14ac:dyDescent="0.35">
      <c r="B220" s="1" t="s">
        <v>217</v>
      </c>
      <c r="C220" s="3" t="s">
        <v>1</v>
      </c>
    </row>
    <row r="221" spans="2:3" x14ac:dyDescent="0.35">
      <c r="B221" s="1" t="s">
        <v>218</v>
      </c>
      <c r="C221" s="3" t="s">
        <v>1</v>
      </c>
    </row>
    <row r="222" spans="2:3" x14ac:dyDescent="0.35">
      <c r="B222" s="1" t="s">
        <v>219</v>
      </c>
      <c r="C222" s="3" t="s">
        <v>1</v>
      </c>
    </row>
    <row r="223" spans="2:3" x14ac:dyDescent="0.35">
      <c r="B223" s="1" t="s">
        <v>220</v>
      </c>
      <c r="C223" s="3" t="s">
        <v>1</v>
      </c>
    </row>
    <row r="224" spans="2:3" x14ac:dyDescent="0.35">
      <c r="B224" s="1" t="s">
        <v>221</v>
      </c>
      <c r="C224" s="3" t="s">
        <v>1</v>
      </c>
    </row>
    <row r="225" spans="2:3" x14ac:dyDescent="0.35">
      <c r="B225" s="1" t="s">
        <v>222</v>
      </c>
      <c r="C225" s="3" t="s">
        <v>1</v>
      </c>
    </row>
    <row r="226" spans="2:3" x14ac:dyDescent="0.35">
      <c r="B226" s="1" t="s">
        <v>223</v>
      </c>
      <c r="C226" s="3" t="s">
        <v>1</v>
      </c>
    </row>
    <row r="227" spans="2:3" x14ac:dyDescent="0.35">
      <c r="B227" s="1" t="s">
        <v>224</v>
      </c>
      <c r="C227" s="3" t="s">
        <v>1</v>
      </c>
    </row>
    <row r="228" spans="2:3" x14ac:dyDescent="0.35">
      <c r="B228" s="1" t="s">
        <v>225</v>
      </c>
      <c r="C228" s="3" t="s">
        <v>1</v>
      </c>
    </row>
    <row r="229" spans="2:3" x14ac:dyDescent="0.35">
      <c r="B229" s="1" t="s">
        <v>226</v>
      </c>
      <c r="C229" s="3" t="s">
        <v>1</v>
      </c>
    </row>
    <row r="230" spans="2:3" x14ac:dyDescent="0.35">
      <c r="B230" s="1" t="s">
        <v>227</v>
      </c>
      <c r="C230" s="3" t="s">
        <v>1</v>
      </c>
    </row>
    <row r="231" spans="2:3" x14ac:dyDescent="0.35">
      <c r="B231" s="1" t="s">
        <v>228</v>
      </c>
      <c r="C231" s="3" t="s">
        <v>1</v>
      </c>
    </row>
    <row r="232" spans="2:3" x14ac:dyDescent="0.35">
      <c r="B232" s="1" t="s">
        <v>229</v>
      </c>
      <c r="C232" s="3" t="s">
        <v>1</v>
      </c>
    </row>
    <row r="233" spans="2:3" x14ac:dyDescent="0.35">
      <c r="B233" s="1" t="s">
        <v>230</v>
      </c>
      <c r="C233" s="3" t="s">
        <v>1</v>
      </c>
    </row>
    <row r="234" spans="2:3" x14ac:dyDescent="0.35">
      <c r="B234" s="1" t="s">
        <v>231</v>
      </c>
      <c r="C234" s="3" t="s">
        <v>1</v>
      </c>
    </row>
    <row r="235" spans="2:3" x14ac:dyDescent="0.35">
      <c r="B235" s="1" t="s">
        <v>232</v>
      </c>
      <c r="C235" s="3" t="s">
        <v>1</v>
      </c>
    </row>
    <row r="236" spans="2:3" x14ac:dyDescent="0.35">
      <c r="B236" s="1" t="s">
        <v>233</v>
      </c>
      <c r="C236" s="3" t="s">
        <v>1</v>
      </c>
    </row>
    <row r="237" spans="2:3" x14ac:dyDescent="0.35">
      <c r="B237" s="1" t="s">
        <v>234</v>
      </c>
      <c r="C237" s="3" t="s">
        <v>1</v>
      </c>
    </row>
    <row r="238" spans="2:3" x14ac:dyDescent="0.35">
      <c r="B238" s="1" t="s">
        <v>235</v>
      </c>
      <c r="C238" s="3" t="s">
        <v>1</v>
      </c>
    </row>
    <row r="239" spans="2:3" x14ac:dyDescent="0.35">
      <c r="B239" s="1" t="s">
        <v>236</v>
      </c>
      <c r="C239" s="3" t="s">
        <v>1</v>
      </c>
    </row>
    <row r="240" spans="2:3" x14ac:dyDescent="0.35">
      <c r="B240" s="1" t="s">
        <v>237</v>
      </c>
      <c r="C240" s="3" t="s">
        <v>1</v>
      </c>
    </row>
    <row r="241" spans="2:3" x14ac:dyDescent="0.35">
      <c r="B241" s="1" t="s">
        <v>238</v>
      </c>
      <c r="C241" s="3" t="s">
        <v>1</v>
      </c>
    </row>
    <row r="242" spans="2:3" x14ac:dyDescent="0.35">
      <c r="B242" s="1" t="s">
        <v>239</v>
      </c>
      <c r="C242" s="3" t="s">
        <v>1</v>
      </c>
    </row>
    <row r="243" spans="2:3" x14ac:dyDescent="0.35">
      <c r="B243" s="1" t="s">
        <v>240</v>
      </c>
      <c r="C243" s="3" t="s">
        <v>1</v>
      </c>
    </row>
    <row r="244" spans="2:3" x14ac:dyDescent="0.35">
      <c r="B244" s="1" t="s">
        <v>241</v>
      </c>
      <c r="C244" s="3" t="s">
        <v>1</v>
      </c>
    </row>
    <row r="245" spans="2:3" x14ac:dyDescent="0.35">
      <c r="B245" s="1" t="s">
        <v>242</v>
      </c>
      <c r="C245" s="3" t="s">
        <v>1</v>
      </c>
    </row>
    <row r="246" spans="2:3" x14ac:dyDescent="0.35">
      <c r="B246" s="1" t="s">
        <v>243</v>
      </c>
      <c r="C246" s="3" t="s">
        <v>1</v>
      </c>
    </row>
    <row r="247" spans="2:3" x14ac:dyDescent="0.35">
      <c r="B247" s="1" t="s">
        <v>244</v>
      </c>
      <c r="C247" s="3" t="s">
        <v>1</v>
      </c>
    </row>
    <row r="248" spans="2:3" x14ac:dyDescent="0.35">
      <c r="B248" s="1" t="s">
        <v>245</v>
      </c>
      <c r="C248" s="3" t="s">
        <v>1</v>
      </c>
    </row>
    <row r="249" spans="2:3" x14ac:dyDescent="0.35">
      <c r="B249" s="1" t="s">
        <v>246</v>
      </c>
      <c r="C249" s="3" t="s">
        <v>1</v>
      </c>
    </row>
    <row r="250" spans="2:3" x14ac:dyDescent="0.35">
      <c r="B250" s="1" t="s">
        <v>247</v>
      </c>
      <c r="C250" s="3" t="s">
        <v>1</v>
      </c>
    </row>
    <row r="251" spans="2:3" x14ac:dyDescent="0.35">
      <c r="B251" s="1" t="s">
        <v>248</v>
      </c>
      <c r="C251" s="3" t="s">
        <v>1</v>
      </c>
    </row>
    <row r="252" spans="2:3" x14ac:dyDescent="0.35">
      <c r="B252" s="1" t="s">
        <v>249</v>
      </c>
      <c r="C252" s="3" t="s">
        <v>1</v>
      </c>
    </row>
    <row r="253" spans="2:3" x14ac:dyDescent="0.35">
      <c r="B253" s="1" t="s">
        <v>250</v>
      </c>
      <c r="C253" s="3" t="s">
        <v>1</v>
      </c>
    </row>
    <row r="254" spans="2:3" x14ac:dyDescent="0.35">
      <c r="B254" s="1" t="s">
        <v>251</v>
      </c>
      <c r="C254" s="3" t="s">
        <v>1</v>
      </c>
    </row>
    <row r="255" spans="2:3" x14ac:dyDescent="0.35">
      <c r="B255" s="1" t="s">
        <v>252</v>
      </c>
      <c r="C255" s="3" t="s">
        <v>1</v>
      </c>
    </row>
    <row r="256" spans="2:3" x14ac:dyDescent="0.35">
      <c r="B256" s="1" t="s">
        <v>253</v>
      </c>
      <c r="C256" s="3" t="s">
        <v>1</v>
      </c>
    </row>
    <row r="257" spans="2:3" x14ac:dyDescent="0.35">
      <c r="B257" s="1" t="s">
        <v>254</v>
      </c>
      <c r="C257" s="3" t="s">
        <v>1</v>
      </c>
    </row>
    <row r="258" spans="2:3" x14ac:dyDescent="0.35">
      <c r="B258" s="1" t="s">
        <v>255</v>
      </c>
      <c r="C258" s="3" t="s">
        <v>1</v>
      </c>
    </row>
    <row r="259" spans="2:3" x14ac:dyDescent="0.35">
      <c r="B259" s="1" t="s">
        <v>256</v>
      </c>
      <c r="C259" s="3" t="s">
        <v>1</v>
      </c>
    </row>
    <row r="260" spans="2:3" x14ac:dyDescent="0.35">
      <c r="B260" s="1" t="s">
        <v>257</v>
      </c>
      <c r="C260" s="3" t="s">
        <v>1</v>
      </c>
    </row>
    <row r="261" spans="2:3" x14ac:dyDescent="0.35">
      <c r="B261" s="1" t="s">
        <v>258</v>
      </c>
      <c r="C261" s="3" t="s">
        <v>1</v>
      </c>
    </row>
    <row r="262" spans="2:3" x14ac:dyDescent="0.35">
      <c r="B262" s="1" t="s">
        <v>259</v>
      </c>
      <c r="C262" s="3" t="s">
        <v>1</v>
      </c>
    </row>
    <row r="263" spans="2:3" x14ac:dyDescent="0.35">
      <c r="B263" s="1" t="s">
        <v>260</v>
      </c>
      <c r="C263" s="3" t="s">
        <v>1</v>
      </c>
    </row>
    <row r="264" spans="2:3" x14ac:dyDescent="0.35">
      <c r="B264" s="1" t="s">
        <v>261</v>
      </c>
      <c r="C264" s="3" t="s">
        <v>1</v>
      </c>
    </row>
    <row r="265" spans="2:3" x14ac:dyDescent="0.35">
      <c r="B265" s="1" t="s">
        <v>262</v>
      </c>
      <c r="C265" s="3" t="s">
        <v>1</v>
      </c>
    </row>
    <row r="266" spans="2:3" x14ac:dyDescent="0.35">
      <c r="B266" s="1" t="s">
        <v>263</v>
      </c>
      <c r="C266" s="3" t="s">
        <v>1</v>
      </c>
    </row>
    <row r="267" spans="2:3" x14ac:dyDescent="0.35">
      <c r="B267" s="1" t="s">
        <v>264</v>
      </c>
      <c r="C267" s="3" t="s">
        <v>1</v>
      </c>
    </row>
    <row r="268" spans="2:3" x14ac:dyDescent="0.35">
      <c r="B268" s="1" t="s">
        <v>265</v>
      </c>
      <c r="C268" s="3" t="s">
        <v>1</v>
      </c>
    </row>
    <row r="269" spans="2:3" x14ac:dyDescent="0.35">
      <c r="B269" s="1" t="s">
        <v>266</v>
      </c>
      <c r="C269" s="3" t="s">
        <v>1</v>
      </c>
    </row>
    <row r="270" spans="2:3" x14ac:dyDescent="0.35">
      <c r="B270" s="1" t="s">
        <v>267</v>
      </c>
      <c r="C270" s="3" t="s">
        <v>1</v>
      </c>
    </row>
    <row r="271" spans="2:3" x14ac:dyDescent="0.35">
      <c r="B271" s="1" t="s">
        <v>268</v>
      </c>
      <c r="C271" s="3" t="s">
        <v>1</v>
      </c>
    </row>
    <row r="272" spans="2:3" x14ac:dyDescent="0.35">
      <c r="B272" s="1" t="s">
        <v>269</v>
      </c>
      <c r="C272" s="3" t="s">
        <v>1</v>
      </c>
    </row>
    <row r="273" spans="2:3" x14ac:dyDescent="0.35">
      <c r="B273" s="1" t="s">
        <v>270</v>
      </c>
      <c r="C273" s="3" t="s">
        <v>1</v>
      </c>
    </row>
    <row r="274" spans="2:3" x14ac:dyDescent="0.35">
      <c r="B274" s="1" t="s">
        <v>271</v>
      </c>
      <c r="C274" s="3" t="s">
        <v>1</v>
      </c>
    </row>
    <row r="275" spans="2:3" x14ac:dyDescent="0.35">
      <c r="B275" s="1" t="s">
        <v>272</v>
      </c>
      <c r="C275" s="3" t="s">
        <v>1</v>
      </c>
    </row>
    <row r="276" spans="2:3" x14ac:dyDescent="0.35">
      <c r="B276" s="1" t="s">
        <v>273</v>
      </c>
      <c r="C276" s="3" t="s">
        <v>1</v>
      </c>
    </row>
    <row r="277" spans="2:3" x14ac:dyDescent="0.35">
      <c r="B277" s="1" t="s">
        <v>274</v>
      </c>
      <c r="C277" s="3" t="s">
        <v>1</v>
      </c>
    </row>
    <row r="278" spans="2:3" x14ac:dyDescent="0.35">
      <c r="B278" s="1" t="s">
        <v>275</v>
      </c>
      <c r="C278" s="3" t="s">
        <v>1</v>
      </c>
    </row>
    <row r="279" spans="2:3" x14ac:dyDescent="0.35">
      <c r="B279" s="1" t="s">
        <v>276</v>
      </c>
      <c r="C279" s="3" t="s">
        <v>1</v>
      </c>
    </row>
    <row r="280" spans="2:3" x14ac:dyDescent="0.35">
      <c r="B280" s="1" t="s">
        <v>277</v>
      </c>
      <c r="C280" s="3" t="s">
        <v>1</v>
      </c>
    </row>
    <row r="281" spans="2:3" x14ac:dyDescent="0.35">
      <c r="B281" s="1" t="s">
        <v>278</v>
      </c>
      <c r="C281" s="3" t="s">
        <v>1</v>
      </c>
    </row>
    <row r="282" spans="2:3" x14ac:dyDescent="0.35">
      <c r="B282" s="1" t="s">
        <v>279</v>
      </c>
      <c r="C282" s="3" t="s">
        <v>1</v>
      </c>
    </row>
    <row r="283" spans="2:3" x14ac:dyDescent="0.35">
      <c r="B283" s="1" t="s">
        <v>280</v>
      </c>
      <c r="C283" s="3" t="s">
        <v>1</v>
      </c>
    </row>
    <row r="284" spans="2:3" x14ac:dyDescent="0.35">
      <c r="B284" s="1" t="s">
        <v>281</v>
      </c>
      <c r="C284" s="3" t="s">
        <v>1</v>
      </c>
    </row>
    <row r="285" spans="2:3" x14ac:dyDescent="0.35">
      <c r="B285" s="1" t="s">
        <v>282</v>
      </c>
      <c r="C285" s="3" t="s">
        <v>1</v>
      </c>
    </row>
    <row r="286" spans="2:3" x14ac:dyDescent="0.35">
      <c r="B286" s="1" t="s">
        <v>283</v>
      </c>
      <c r="C286" s="3" t="s">
        <v>1</v>
      </c>
    </row>
    <row r="287" spans="2:3" x14ac:dyDescent="0.35">
      <c r="B287" s="1" t="s">
        <v>284</v>
      </c>
      <c r="C287" s="3" t="s">
        <v>1</v>
      </c>
    </row>
    <row r="288" spans="2:3" x14ac:dyDescent="0.35">
      <c r="B288" s="1" t="s">
        <v>285</v>
      </c>
      <c r="C288" s="3" t="s">
        <v>1</v>
      </c>
    </row>
    <row r="289" spans="2:3" x14ac:dyDescent="0.35">
      <c r="B289" s="1" t="s">
        <v>286</v>
      </c>
      <c r="C289" s="3" t="s">
        <v>1</v>
      </c>
    </row>
    <row r="290" spans="2:3" x14ac:dyDescent="0.35">
      <c r="B290" s="1" t="s">
        <v>287</v>
      </c>
      <c r="C290" s="3" t="s">
        <v>1</v>
      </c>
    </row>
    <row r="291" spans="2:3" x14ac:dyDescent="0.35">
      <c r="B291" s="1" t="s">
        <v>288</v>
      </c>
      <c r="C291" s="3" t="s">
        <v>1</v>
      </c>
    </row>
    <row r="292" spans="2:3" x14ac:dyDescent="0.35">
      <c r="B292" s="1" t="s">
        <v>289</v>
      </c>
      <c r="C292" s="3" t="s">
        <v>1</v>
      </c>
    </row>
    <row r="293" spans="2:3" x14ac:dyDescent="0.35">
      <c r="B293" s="1" t="s">
        <v>290</v>
      </c>
      <c r="C293" s="3" t="s">
        <v>1</v>
      </c>
    </row>
    <row r="294" spans="2:3" x14ac:dyDescent="0.35">
      <c r="B294" s="1" t="s">
        <v>291</v>
      </c>
      <c r="C294" s="3" t="s">
        <v>1</v>
      </c>
    </row>
    <row r="295" spans="2:3" x14ac:dyDescent="0.35">
      <c r="B295" s="1" t="s">
        <v>292</v>
      </c>
      <c r="C295" s="3" t="s">
        <v>1</v>
      </c>
    </row>
    <row r="296" spans="2:3" x14ac:dyDescent="0.35">
      <c r="B296" s="1" t="s">
        <v>293</v>
      </c>
      <c r="C296" s="3" t="s">
        <v>1</v>
      </c>
    </row>
    <row r="297" spans="2:3" x14ac:dyDescent="0.35">
      <c r="B297" s="1" t="s">
        <v>294</v>
      </c>
      <c r="C297" s="3" t="s">
        <v>1</v>
      </c>
    </row>
    <row r="298" spans="2:3" x14ac:dyDescent="0.35">
      <c r="B298" s="1" t="s">
        <v>295</v>
      </c>
      <c r="C298" s="3" t="s">
        <v>1</v>
      </c>
    </row>
    <row r="299" spans="2:3" x14ac:dyDescent="0.35">
      <c r="B299" s="1" t="s">
        <v>296</v>
      </c>
      <c r="C299" s="3" t="s">
        <v>1</v>
      </c>
    </row>
    <row r="300" spans="2:3" x14ac:dyDescent="0.35">
      <c r="B300" s="1" t="s">
        <v>297</v>
      </c>
      <c r="C300" s="3" t="s">
        <v>1</v>
      </c>
    </row>
    <row r="301" spans="2:3" x14ac:dyDescent="0.35">
      <c r="B301" s="1" t="s">
        <v>298</v>
      </c>
      <c r="C301" s="3" t="s">
        <v>1</v>
      </c>
    </row>
    <row r="302" spans="2:3" x14ac:dyDescent="0.35">
      <c r="B302" s="1" t="s">
        <v>299</v>
      </c>
      <c r="C302" s="3" t="s">
        <v>1</v>
      </c>
    </row>
    <row r="303" spans="2:3" x14ac:dyDescent="0.35">
      <c r="B303" s="1" t="s">
        <v>300</v>
      </c>
      <c r="C303" s="3" t="s">
        <v>1</v>
      </c>
    </row>
    <row r="304" spans="2:3" x14ac:dyDescent="0.35">
      <c r="B304" s="1" t="s">
        <v>301</v>
      </c>
      <c r="C304" s="3" t="s">
        <v>1</v>
      </c>
    </row>
    <row r="305" spans="2:3" x14ac:dyDescent="0.35">
      <c r="B305" s="1" t="s">
        <v>302</v>
      </c>
      <c r="C305" s="3" t="s">
        <v>1</v>
      </c>
    </row>
    <row r="306" spans="2:3" x14ac:dyDescent="0.35">
      <c r="B306" s="1" t="s">
        <v>303</v>
      </c>
      <c r="C306" s="3" t="s">
        <v>1</v>
      </c>
    </row>
    <row r="307" spans="2:3" x14ac:dyDescent="0.35">
      <c r="B307" s="1" t="s">
        <v>304</v>
      </c>
      <c r="C307" s="3" t="s">
        <v>1</v>
      </c>
    </row>
    <row r="308" spans="2:3" x14ac:dyDescent="0.35">
      <c r="B308" s="1" t="s">
        <v>305</v>
      </c>
      <c r="C308" s="3" t="s">
        <v>1</v>
      </c>
    </row>
    <row r="309" spans="2:3" x14ac:dyDescent="0.35">
      <c r="B309" s="1" t="s">
        <v>306</v>
      </c>
      <c r="C309" s="3" t="s">
        <v>1</v>
      </c>
    </row>
    <row r="310" spans="2:3" x14ac:dyDescent="0.35">
      <c r="B310" s="1" t="s">
        <v>307</v>
      </c>
      <c r="C310" s="3" t="s">
        <v>1</v>
      </c>
    </row>
    <row r="311" spans="2:3" x14ac:dyDescent="0.35">
      <c r="B311" s="1" t="s">
        <v>308</v>
      </c>
      <c r="C311" s="3" t="s">
        <v>1</v>
      </c>
    </row>
    <row r="312" spans="2:3" x14ac:dyDescent="0.35">
      <c r="B312" s="1" t="s">
        <v>309</v>
      </c>
      <c r="C312" s="3" t="s">
        <v>1</v>
      </c>
    </row>
    <row r="313" spans="2:3" x14ac:dyDescent="0.35">
      <c r="B313" s="1" t="s">
        <v>310</v>
      </c>
      <c r="C313" s="3" t="s">
        <v>1</v>
      </c>
    </row>
    <row r="314" spans="2:3" x14ac:dyDescent="0.35">
      <c r="B314" s="1" t="s">
        <v>311</v>
      </c>
      <c r="C314" s="3" t="s">
        <v>1</v>
      </c>
    </row>
    <row r="315" spans="2:3" x14ac:dyDescent="0.35">
      <c r="B315" s="1" t="s">
        <v>312</v>
      </c>
      <c r="C315" s="3" t="s">
        <v>1</v>
      </c>
    </row>
    <row r="316" spans="2:3" x14ac:dyDescent="0.35">
      <c r="B316" s="1" t="s">
        <v>313</v>
      </c>
      <c r="C316" s="3" t="s">
        <v>1</v>
      </c>
    </row>
    <row r="317" spans="2:3" x14ac:dyDescent="0.35">
      <c r="B317" s="1" t="s">
        <v>314</v>
      </c>
      <c r="C317" s="3" t="s">
        <v>1</v>
      </c>
    </row>
    <row r="318" spans="2:3" x14ac:dyDescent="0.35">
      <c r="B318" s="1" t="s">
        <v>315</v>
      </c>
      <c r="C318" s="3" t="s">
        <v>1</v>
      </c>
    </row>
    <row r="319" spans="2:3" x14ac:dyDescent="0.35">
      <c r="B319" s="1" t="s">
        <v>316</v>
      </c>
      <c r="C319" s="3" t="s">
        <v>1</v>
      </c>
    </row>
    <row r="320" spans="2:3" x14ac:dyDescent="0.35">
      <c r="B320" s="1" t="s">
        <v>317</v>
      </c>
      <c r="C320" s="3" t="s">
        <v>1</v>
      </c>
    </row>
    <row r="321" spans="2:3" x14ac:dyDescent="0.35">
      <c r="B321" s="1" t="s">
        <v>318</v>
      </c>
      <c r="C321" s="3" t="s">
        <v>1</v>
      </c>
    </row>
    <row r="322" spans="2:3" x14ac:dyDescent="0.35">
      <c r="B322" s="1" t="s">
        <v>319</v>
      </c>
      <c r="C322" s="3" t="s">
        <v>1</v>
      </c>
    </row>
    <row r="323" spans="2:3" x14ac:dyDescent="0.35">
      <c r="B323" s="1" t="s">
        <v>320</v>
      </c>
      <c r="C323" s="3" t="s">
        <v>1</v>
      </c>
    </row>
    <row r="324" spans="2:3" x14ac:dyDescent="0.35">
      <c r="B324" s="1" t="s">
        <v>321</v>
      </c>
      <c r="C324" s="3" t="s">
        <v>1</v>
      </c>
    </row>
    <row r="325" spans="2:3" x14ac:dyDescent="0.35">
      <c r="B325" s="1" t="s">
        <v>322</v>
      </c>
      <c r="C325" s="3" t="s">
        <v>1</v>
      </c>
    </row>
    <row r="326" spans="2:3" x14ac:dyDescent="0.35">
      <c r="B326" s="1" t="s">
        <v>323</v>
      </c>
      <c r="C326" s="3" t="s">
        <v>1</v>
      </c>
    </row>
    <row r="327" spans="2:3" x14ac:dyDescent="0.35">
      <c r="B327" s="1" t="s">
        <v>324</v>
      </c>
      <c r="C327" s="3" t="s">
        <v>1</v>
      </c>
    </row>
    <row r="328" spans="2:3" x14ac:dyDescent="0.35">
      <c r="B328" s="1" t="s">
        <v>325</v>
      </c>
      <c r="C328" s="3" t="s">
        <v>1</v>
      </c>
    </row>
    <row r="329" spans="2:3" x14ac:dyDescent="0.35">
      <c r="B329" s="1" t="s">
        <v>326</v>
      </c>
      <c r="C329" s="3" t="s">
        <v>1</v>
      </c>
    </row>
    <row r="330" spans="2:3" x14ac:dyDescent="0.35">
      <c r="B330" s="1" t="s">
        <v>327</v>
      </c>
      <c r="C330" s="3" t="s">
        <v>1</v>
      </c>
    </row>
    <row r="331" spans="2:3" x14ac:dyDescent="0.35">
      <c r="B331" s="1" t="s">
        <v>328</v>
      </c>
      <c r="C331" s="3" t="s">
        <v>1</v>
      </c>
    </row>
    <row r="332" spans="2:3" x14ac:dyDescent="0.35">
      <c r="B332" s="1" t="s">
        <v>329</v>
      </c>
      <c r="C332" s="3" t="s">
        <v>1</v>
      </c>
    </row>
    <row r="333" spans="2:3" x14ac:dyDescent="0.35">
      <c r="B333" s="1" t="s">
        <v>330</v>
      </c>
      <c r="C333" s="3" t="s">
        <v>1</v>
      </c>
    </row>
    <row r="334" spans="2:3" x14ac:dyDescent="0.35">
      <c r="B334" s="1" t="s">
        <v>331</v>
      </c>
      <c r="C334" s="3" t="s">
        <v>1</v>
      </c>
    </row>
    <row r="335" spans="2:3" x14ac:dyDescent="0.35">
      <c r="B335" s="1" t="s">
        <v>332</v>
      </c>
      <c r="C335" s="3" t="s">
        <v>1</v>
      </c>
    </row>
    <row r="336" spans="2:3" x14ac:dyDescent="0.35">
      <c r="B336" s="1" t="s">
        <v>333</v>
      </c>
      <c r="C336" s="3" t="s">
        <v>1</v>
      </c>
    </row>
    <row r="337" spans="2:3" x14ac:dyDescent="0.35">
      <c r="B337" s="1" t="s">
        <v>334</v>
      </c>
      <c r="C337" s="3" t="s">
        <v>1</v>
      </c>
    </row>
    <row r="338" spans="2:3" x14ac:dyDescent="0.35">
      <c r="B338" s="1" t="s">
        <v>335</v>
      </c>
      <c r="C338" s="3" t="s">
        <v>1</v>
      </c>
    </row>
    <row r="339" spans="2:3" x14ac:dyDescent="0.35">
      <c r="B339" s="1" t="s">
        <v>336</v>
      </c>
      <c r="C339" s="3" t="s">
        <v>1</v>
      </c>
    </row>
    <row r="340" spans="2:3" x14ac:dyDescent="0.35">
      <c r="B340" s="1" t="s">
        <v>337</v>
      </c>
      <c r="C340" s="3" t="s">
        <v>1</v>
      </c>
    </row>
    <row r="341" spans="2:3" x14ac:dyDescent="0.35">
      <c r="B341" s="1" t="s">
        <v>338</v>
      </c>
      <c r="C341" s="3" t="s">
        <v>1</v>
      </c>
    </row>
    <row r="342" spans="2:3" x14ac:dyDescent="0.35">
      <c r="B342" s="1" t="s">
        <v>339</v>
      </c>
      <c r="C342" s="3" t="s">
        <v>1</v>
      </c>
    </row>
    <row r="343" spans="2:3" x14ac:dyDescent="0.35">
      <c r="B343" s="1" t="s">
        <v>340</v>
      </c>
      <c r="C343" s="3" t="s">
        <v>1</v>
      </c>
    </row>
    <row r="344" spans="2:3" x14ac:dyDescent="0.35">
      <c r="B344" s="1" t="s">
        <v>341</v>
      </c>
      <c r="C344" s="3" t="s">
        <v>1</v>
      </c>
    </row>
    <row r="345" spans="2:3" x14ac:dyDescent="0.35">
      <c r="B345" s="1" t="s">
        <v>342</v>
      </c>
      <c r="C345" s="3" t="s">
        <v>1</v>
      </c>
    </row>
    <row r="346" spans="2:3" x14ac:dyDescent="0.35">
      <c r="B346" s="1" t="s">
        <v>343</v>
      </c>
      <c r="C346" s="3" t="s">
        <v>1</v>
      </c>
    </row>
    <row r="347" spans="2:3" x14ac:dyDescent="0.35">
      <c r="B347" s="1" t="s">
        <v>344</v>
      </c>
      <c r="C347" s="3" t="s">
        <v>1</v>
      </c>
    </row>
    <row r="348" spans="2:3" x14ac:dyDescent="0.35">
      <c r="B348" s="1" t="s">
        <v>345</v>
      </c>
      <c r="C348" s="3" t="s">
        <v>1</v>
      </c>
    </row>
    <row r="349" spans="2:3" x14ac:dyDescent="0.35">
      <c r="B349" s="1" t="s">
        <v>346</v>
      </c>
      <c r="C349" s="3" t="s">
        <v>1</v>
      </c>
    </row>
    <row r="350" spans="2:3" x14ac:dyDescent="0.35">
      <c r="B350" s="1" t="s">
        <v>347</v>
      </c>
      <c r="C350" s="3" t="s">
        <v>1</v>
      </c>
    </row>
    <row r="351" spans="2:3" x14ac:dyDescent="0.35">
      <c r="B351" s="1" t="s">
        <v>348</v>
      </c>
      <c r="C351" s="3" t="s">
        <v>1</v>
      </c>
    </row>
    <row r="352" spans="2:3" x14ac:dyDescent="0.35">
      <c r="B352" s="1" t="s">
        <v>349</v>
      </c>
      <c r="C352" s="3" t="s">
        <v>1</v>
      </c>
    </row>
    <row r="353" spans="2:3" x14ac:dyDescent="0.35">
      <c r="B353" s="1" t="s">
        <v>350</v>
      </c>
      <c r="C353" s="3" t="s">
        <v>1</v>
      </c>
    </row>
    <row r="354" spans="2:3" x14ac:dyDescent="0.35">
      <c r="B354" s="1" t="s">
        <v>351</v>
      </c>
      <c r="C354" s="3" t="s">
        <v>1</v>
      </c>
    </row>
    <row r="355" spans="2:3" x14ac:dyDescent="0.35">
      <c r="B355" s="1" t="s">
        <v>352</v>
      </c>
      <c r="C355" s="3" t="s">
        <v>1</v>
      </c>
    </row>
    <row r="356" spans="2:3" x14ac:dyDescent="0.35">
      <c r="B356" s="1" t="s">
        <v>353</v>
      </c>
      <c r="C356" s="3" t="s">
        <v>1</v>
      </c>
    </row>
    <row r="357" spans="2:3" x14ac:dyDescent="0.35">
      <c r="B357" s="1" t="s">
        <v>354</v>
      </c>
      <c r="C357" s="3" t="s">
        <v>1</v>
      </c>
    </row>
    <row r="358" spans="2:3" x14ac:dyDescent="0.35">
      <c r="B358" s="1" t="s">
        <v>355</v>
      </c>
      <c r="C358" s="3" t="s">
        <v>1</v>
      </c>
    </row>
    <row r="359" spans="2:3" x14ac:dyDescent="0.35">
      <c r="B359" s="1" t="s">
        <v>356</v>
      </c>
      <c r="C359" s="3" t="s">
        <v>1</v>
      </c>
    </row>
    <row r="360" spans="2:3" x14ac:dyDescent="0.35">
      <c r="B360" s="1" t="s">
        <v>357</v>
      </c>
      <c r="C360" s="3" t="s">
        <v>1</v>
      </c>
    </row>
    <row r="361" spans="2:3" x14ac:dyDescent="0.35">
      <c r="B361" s="1" t="s">
        <v>358</v>
      </c>
      <c r="C361" s="3" t="s">
        <v>1</v>
      </c>
    </row>
    <row r="362" spans="2:3" x14ac:dyDescent="0.35">
      <c r="B362" s="1" t="s">
        <v>359</v>
      </c>
      <c r="C362" s="3" t="s">
        <v>1</v>
      </c>
    </row>
    <row r="363" spans="2:3" x14ac:dyDescent="0.35">
      <c r="B363" s="1" t="s">
        <v>360</v>
      </c>
      <c r="C363" s="3" t="s">
        <v>1</v>
      </c>
    </row>
    <row r="364" spans="2:3" x14ac:dyDescent="0.35">
      <c r="B364" s="1" t="s">
        <v>361</v>
      </c>
      <c r="C364" s="3" t="s">
        <v>1</v>
      </c>
    </row>
    <row r="365" spans="2:3" x14ac:dyDescent="0.35">
      <c r="B365" s="1" t="s">
        <v>362</v>
      </c>
      <c r="C365" s="3" t="s">
        <v>1</v>
      </c>
    </row>
    <row r="366" spans="2:3" x14ac:dyDescent="0.35">
      <c r="B366" s="1" t="s">
        <v>363</v>
      </c>
      <c r="C366" s="3" t="s">
        <v>1</v>
      </c>
    </row>
    <row r="367" spans="2:3" x14ac:dyDescent="0.35">
      <c r="B367" s="1" t="s">
        <v>364</v>
      </c>
      <c r="C367" s="3" t="s">
        <v>1</v>
      </c>
    </row>
    <row r="368" spans="2:3" x14ac:dyDescent="0.35">
      <c r="B368" s="1" t="s">
        <v>365</v>
      </c>
      <c r="C368" s="3" t="s">
        <v>1</v>
      </c>
    </row>
    <row r="369" spans="2:3" x14ac:dyDescent="0.35">
      <c r="B369" s="1" t="s">
        <v>366</v>
      </c>
      <c r="C369" s="3" t="s">
        <v>1</v>
      </c>
    </row>
    <row r="370" spans="2:3" x14ac:dyDescent="0.35">
      <c r="B370" s="1" t="s">
        <v>367</v>
      </c>
      <c r="C370" s="3" t="s">
        <v>1</v>
      </c>
    </row>
    <row r="371" spans="2:3" x14ac:dyDescent="0.35">
      <c r="B371" s="1" t="s">
        <v>368</v>
      </c>
      <c r="C371" s="3" t="s">
        <v>1</v>
      </c>
    </row>
    <row r="372" spans="2:3" x14ac:dyDescent="0.35">
      <c r="B372" s="1" t="s">
        <v>369</v>
      </c>
      <c r="C372" s="3" t="s">
        <v>1</v>
      </c>
    </row>
    <row r="373" spans="2:3" x14ac:dyDescent="0.35">
      <c r="B373" s="1" t="s">
        <v>370</v>
      </c>
      <c r="C373" s="3" t="s">
        <v>1</v>
      </c>
    </row>
    <row r="374" spans="2:3" x14ac:dyDescent="0.35">
      <c r="B374" s="1" t="s">
        <v>371</v>
      </c>
      <c r="C374" s="3" t="s">
        <v>1</v>
      </c>
    </row>
    <row r="375" spans="2:3" x14ac:dyDescent="0.35">
      <c r="B375" s="1" t="s">
        <v>372</v>
      </c>
      <c r="C375" s="3" t="s">
        <v>1</v>
      </c>
    </row>
    <row r="376" spans="2:3" x14ac:dyDescent="0.35">
      <c r="B376" s="1" t="s">
        <v>373</v>
      </c>
      <c r="C376" s="3" t="s">
        <v>1</v>
      </c>
    </row>
    <row r="377" spans="2:3" x14ac:dyDescent="0.35">
      <c r="B377" s="1" t="s">
        <v>374</v>
      </c>
      <c r="C377" s="3" t="s">
        <v>1</v>
      </c>
    </row>
    <row r="378" spans="2:3" x14ac:dyDescent="0.35">
      <c r="B378" s="1" t="s">
        <v>375</v>
      </c>
      <c r="C378" s="3" t="s">
        <v>1</v>
      </c>
    </row>
    <row r="379" spans="2:3" x14ac:dyDescent="0.35">
      <c r="B379" s="1" t="s">
        <v>376</v>
      </c>
      <c r="C379" s="3" t="s">
        <v>1</v>
      </c>
    </row>
    <row r="380" spans="2:3" x14ac:dyDescent="0.35">
      <c r="B380" s="1" t="s">
        <v>377</v>
      </c>
      <c r="C380" s="3" t="s">
        <v>1</v>
      </c>
    </row>
    <row r="381" spans="2:3" x14ac:dyDescent="0.35">
      <c r="B381" s="1" t="s">
        <v>378</v>
      </c>
      <c r="C381" s="3" t="s">
        <v>1</v>
      </c>
    </row>
    <row r="382" spans="2:3" x14ac:dyDescent="0.35">
      <c r="B382" s="1" t="s">
        <v>379</v>
      </c>
      <c r="C382" s="3" t="s">
        <v>1</v>
      </c>
    </row>
    <row r="383" spans="2:3" x14ac:dyDescent="0.35">
      <c r="B383" s="1" t="s">
        <v>380</v>
      </c>
      <c r="C383" s="3" t="s">
        <v>1</v>
      </c>
    </row>
    <row r="384" spans="2:3" x14ac:dyDescent="0.35">
      <c r="B384" s="1" t="s">
        <v>381</v>
      </c>
      <c r="C384" s="3" t="s">
        <v>1</v>
      </c>
    </row>
    <row r="385" spans="2:3" x14ac:dyDescent="0.35">
      <c r="B385" s="1" t="s">
        <v>382</v>
      </c>
      <c r="C385" s="3" t="s">
        <v>1</v>
      </c>
    </row>
    <row r="386" spans="2:3" x14ac:dyDescent="0.35">
      <c r="B386" s="1" t="s">
        <v>383</v>
      </c>
      <c r="C386" s="3" t="s">
        <v>1</v>
      </c>
    </row>
    <row r="387" spans="2:3" x14ac:dyDescent="0.35">
      <c r="B387" s="1" t="s">
        <v>384</v>
      </c>
      <c r="C387" s="3" t="s">
        <v>1</v>
      </c>
    </row>
    <row r="388" spans="2:3" x14ac:dyDescent="0.35">
      <c r="B388" s="1" t="s">
        <v>385</v>
      </c>
      <c r="C388" s="3" t="s">
        <v>1</v>
      </c>
    </row>
    <row r="389" spans="2:3" x14ac:dyDescent="0.35">
      <c r="B389" s="1" t="s">
        <v>386</v>
      </c>
      <c r="C389" s="3" t="s">
        <v>1</v>
      </c>
    </row>
    <row r="390" spans="2:3" x14ac:dyDescent="0.35">
      <c r="B390" s="1" t="s">
        <v>387</v>
      </c>
      <c r="C390" s="3" t="s">
        <v>1</v>
      </c>
    </row>
    <row r="391" spans="2:3" x14ac:dyDescent="0.35">
      <c r="B391" s="1" t="s">
        <v>388</v>
      </c>
      <c r="C391" s="3" t="s">
        <v>1</v>
      </c>
    </row>
    <row r="392" spans="2:3" x14ac:dyDescent="0.35">
      <c r="B392" s="1" t="s">
        <v>389</v>
      </c>
      <c r="C392" s="3" t="s">
        <v>1</v>
      </c>
    </row>
    <row r="393" spans="2:3" x14ac:dyDescent="0.35">
      <c r="B393" s="1" t="s">
        <v>390</v>
      </c>
      <c r="C393" s="3" t="s">
        <v>1</v>
      </c>
    </row>
    <row r="394" spans="2:3" x14ac:dyDescent="0.35">
      <c r="B394" s="1" t="s">
        <v>391</v>
      </c>
      <c r="C394" s="3" t="s">
        <v>1</v>
      </c>
    </row>
    <row r="395" spans="2:3" x14ac:dyDescent="0.35">
      <c r="B395" s="1" t="s">
        <v>392</v>
      </c>
      <c r="C395" s="3" t="s">
        <v>1</v>
      </c>
    </row>
    <row r="396" spans="2:3" x14ac:dyDescent="0.35">
      <c r="B396" s="1" t="s">
        <v>393</v>
      </c>
      <c r="C396" s="3" t="s">
        <v>1</v>
      </c>
    </row>
    <row r="397" spans="2:3" x14ac:dyDescent="0.35">
      <c r="B397" s="1" t="s">
        <v>394</v>
      </c>
      <c r="C397" s="3" t="s">
        <v>1</v>
      </c>
    </row>
    <row r="398" spans="2:3" x14ac:dyDescent="0.35">
      <c r="B398" s="1" t="s">
        <v>395</v>
      </c>
      <c r="C398" s="3" t="s">
        <v>1</v>
      </c>
    </row>
    <row r="399" spans="2:3" x14ac:dyDescent="0.35">
      <c r="B399" s="1" t="s">
        <v>396</v>
      </c>
      <c r="C399" s="3" t="s">
        <v>1</v>
      </c>
    </row>
    <row r="400" spans="2:3" x14ac:dyDescent="0.35">
      <c r="B400" s="1" t="s">
        <v>397</v>
      </c>
      <c r="C400" s="3" t="s">
        <v>1</v>
      </c>
    </row>
    <row r="401" spans="2:3" x14ac:dyDescent="0.35">
      <c r="B401" s="1" t="s">
        <v>398</v>
      </c>
      <c r="C401" s="3" t="s">
        <v>1</v>
      </c>
    </row>
    <row r="402" spans="2:3" x14ac:dyDescent="0.35">
      <c r="B402" s="1" t="s">
        <v>399</v>
      </c>
      <c r="C40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3"/>
  <sheetViews>
    <sheetView workbookViewId="0">
      <selection activeCell="E19" sqref="E19"/>
    </sheetView>
  </sheetViews>
  <sheetFormatPr defaultRowHeight="14.5" x14ac:dyDescent="0.35"/>
  <sheetData>
    <row r="1" spans="1:38" x14ac:dyDescent="0.35">
      <c r="A1" t="s">
        <v>400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  <c r="H1" t="s">
        <v>407</v>
      </c>
      <c r="K1" t="s">
        <v>402</v>
      </c>
      <c r="L1" t="s">
        <v>405</v>
      </c>
      <c r="M1" t="s">
        <v>405</v>
      </c>
      <c r="N1" t="s">
        <v>401</v>
      </c>
      <c r="O1" t="s">
        <v>400</v>
      </c>
      <c r="P1" t="s">
        <v>401</v>
      </c>
      <c r="Q1" t="s">
        <v>400</v>
      </c>
      <c r="R1" t="s">
        <v>400</v>
      </c>
      <c r="S1" t="s">
        <v>408</v>
      </c>
      <c r="T1" t="s">
        <v>409</v>
      </c>
      <c r="U1" t="s">
        <v>410</v>
      </c>
      <c r="W1" t="s">
        <v>400</v>
      </c>
      <c r="X1">
        <v>1</v>
      </c>
      <c r="Y1" t="s">
        <v>405</v>
      </c>
      <c r="Z1" t="s">
        <v>405</v>
      </c>
      <c r="AA1" t="s">
        <v>405</v>
      </c>
      <c r="AB1" t="s">
        <v>403</v>
      </c>
      <c r="AC1" t="s">
        <v>403</v>
      </c>
      <c r="AD1" t="s">
        <v>403</v>
      </c>
      <c r="AE1" t="s">
        <v>400</v>
      </c>
      <c r="AF1" t="s">
        <v>400</v>
      </c>
      <c r="AG1" t="s">
        <v>400</v>
      </c>
      <c r="AH1" t="s">
        <v>406</v>
      </c>
      <c r="AI1" t="s">
        <v>400</v>
      </c>
      <c r="AJ1" t="s">
        <v>401</v>
      </c>
      <c r="AK1" t="s">
        <v>406</v>
      </c>
      <c r="AL1" t="s">
        <v>403</v>
      </c>
    </row>
    <row r="2" spans="1:38" x14ac:dyDescent="0.35">
      <c r="A2" t="s">
        <v>411</v>
      </c>
      <c r="B2">
        <v>1</v>
      </c>
      <c r="C2" t="s">
        <v>412</v>
      </c>
      <c r="D2">
        <v>100</v>
      </c>
      <c r="E2">
        <v>5</v>
      </c>
      <c r="F2" t="s">
        <v>413</v>
      </c>
      <c r="G2">
        <v>1</v>
      </c>
      <c r="H2">
        <v>46023</v>
      </c>
      <c r="K2" t="s">
        <v>412</v>
      </c>
      <c r="L2" t="s">
        <v>414</v>
      </c>
      <c r="M2" t="s">
        <v>415</v>
      </c>
      <c r="N2">
        <v>3</v>
      </c>
      <c r="O2" t="s">
        <v>411</v>
      </c>
      <c r="P2">
        <v>3</v>
      </c>
      <c r="Q2" t="s">
        <v>416</v>
      </c>
      <c r="R2" t="s">
        <v>411</v>
      </c>
      <c r="S2" t="s">
        <v>417</v>
      </c>
      <c r="T2" t="s">
        <v>418</v>
      </c>
      <c r="U2" t="b">
        <f>data!D2&gt;100</f>
        <v>0</v>
      </c>
      <c r="W2" t="s">
        <v>409</v>
      </c>
      <c r="X2">
        <v>2</v>
      </c>
      <c r="Y2" t="s">
        <v>419</v>
      </c>
      <c r="Z2" t="s">
        <v>420</v>
      </c>
      <c r="AA2" t="s">
        <v>421</v>
      </c>
      <c r="AB2" t="s">
        <v>422</v>
      </c>
      <c r="AC2">
        <v>10</v>
      </c>
      <c r="AD2" t="s">
        <v>423</v>
      </c>
      <c r="AE2" t="s">
        <v>424</v>
      </c>
      <c r="AF2" t="s">
        <v>425</v>
      </c>
      <c r="AG2" t="s">
        <v>426</v>
      </c>
      <c r="AH2" t="b">
        <f>TRUE</f>
        <v>1</v>
      </c>
      <c r="AI2" t="s">
        <v>411</v>
      </c>
      <c r="AJ2">
        <v>3</v>
      </c>
      <c r="AK2" t="s">
        <v>427</v>
      </c>
      <c r="AL2">
        <v>300</v>
      </c>
    </row>
    <row r="3" spans="1:38" x14ac:dyDescent="0.35">
      <c r="A3" t="s">
        <v>428</v>
      </c>
      <c r="B3">
        <v>1</v>
      </c>
      <c r="C3" t="s">
        <v>429</v>
      </c>
      <c r="D3">
        <v>250.5</v>
      </c>
      <c r="E3">
        <v>3</v>
      </c>
      <c r="F3" t="s">
        <v>430</v>
      </c>
      <c r="G3" t="b">
        <f>TRUE</f>
        <v>1</v>
      </c>
      <c r="H3">
        <v>46024</v>
      </c>
      <c r="Q3" t="s">
        <v>428</v>
      </c>
      <c r="X3">
        <f>SUBTOTAL(9,X1:X2)</f>
        <v>3</v>
      </c>
      <c r="AI3" t="s">
        <v>416</v>
      </c>
    </row>
    <row r="4" spans="1:38" x14ac:dyDescent="0.35">
      <c r="A4" t="s">
        <v>411</v>
      </c>
      <c r="B4">
        <v>2</v>
      </c>
      <c r="C4" t="s">
        <v>431</v>
      </c>
      <c r="D4">
        <v>75</v>
      </c>
      <c r="E4">
        <v>2</v>
      </c>
      <c r="F4" t="s">
        <v>432</v>
      </c>
      <c r="G4" t="s">
        <v>433</v>
      </c>
      <c r="H4">
        <v>46054</v>
      </c>
      <c r="X4">
        <f>SUBTOTAL(9,X1:X2)*2</f>
        <v>6</v>
      </c>
    </row>
    <row r="5" spans="1:38" x14ac:dyDescent="0.35">
      <c r="A5" t="s">
        <v>416</v>
      </c>
      <c r="B5">
        <v>2</v>
      </c>
      <c r="C5" t="s">
        <v>434</v>
      </c>
      <c r="D5">
        <v>40</v>
      </c>
      <c r="E5">
        <v>1</v>
      </c>
      <c r="F5" t="s">
        <v>435</v>
      </c>
      <c r="G5" t="e">
        <f>1/0</f>
        <v>#DIV/0!</v>
      </c>
      <c r="H5">
        <v>46055</v>
      </c>
      <c r="X5">
        <f>SUM(X1:X2)</f>
        <v>3</v>
      </c>
    </row>
    <row r="6" spans="1:38" hidden="1" x14ac:dyDescent="0.35">
      <c r="A6" t="s">
        <v>428</v>
      </c>
      <c r="B6">
        <v>3</v>
      </c>
      <c r="C6" t="s">
        <v>429</v>
      </c>
      <c r="D6">
        <v>300</v>
      </c>
      <c r="E6">
        <v>4</v>
      </c>
      <c r="H6">
        <v>46082</v>
      </c>
    </row>
    <row r="7" spans="1:38" x14ac:dyDescent="0.35">
      <c r="A7" t="s">
        <v>411</v>
      </c>
      <c r="B7">
        <v>3</v>
      </c>
      <c r="C7" t="s">
        <v>412</v>
      </c>
      <c r="D7">
        <v>125</v>
      </c>
      <c r="E7">
        <v>6</v>
      </c>
      <c r="F7" t="str">
        <f>""</f>
        <v/>
      </c>
      <c r="G7">
        <v>2</v>
      </c>
      <c r="H7">
        <v>46083</v>
      </c>
    </row>
    <row r="8" spans="1:38" x14ac:dyDescent="0.35">
      <c r="A8" t="s">
        <v>416</v>
      </c>
      <c r="B8">
        <v>1</v>
      </c>
      <c r="C8" t="s">
        <v>436</v>
      </c>
      <c r="D8">
        <v>-20</v>
      </c>
      <c r="E8">
        <v>7</v>
      </c>
      <c r="F8" t="s">
        <v>414</v>
      </c>
      <c r="G8" t="e">
        <f>"a"+1</f>
        <v>#VALUE!</v>
      </c>
      <c r="H8">
        <v>46025</v>
      </c>
    </row>
    <row r="9" spans="1:38" x14ac:dyDescent="0.35">
      <c r="A9" t="s">
        <v>411</v>
      </c>
      <c r="B9">
        <v>12</v>
      </c>
      <c r="C9" t="s">
        <v>412</v>
      </c>
      <c r="D9">
        <v>10</v>
      </c>
      <c r="E9">
        <v>0</v>
      </c>
      <c r="F9" t="s">
        <v>437</v>
      </c>
      <c r="G9">
        <v>3</v>
      </c>
      <c r="H9">
        <v>46357</v>
      </c>
    </row>
    <row r="10" spans="1:38" x14ac:dyDescent="0.35">
      <c r="B10">
        <v>2</v>
      </c>
      <c r="C10" t="s">
        <v>429</v>
      </c>
      <c r="D10">
        <v>60</v>
      </c>
      <c r="E10">
        <v>2</v>
      </c>
      <c r="F10" t="s">
        <v>438</v>
      </c>
      <c r="G10">
        <v>4</v>
      </c>
      <c r="H10">
        <v>46056</v>
      </c>
    </row>
    <row r="11" spans="1:38" x14ac:dyDescent="0.35">
      <c r="A11" t="s">
        <v>439</v>
      </c>
      <c r="B11">
        <v>2</v>
      </c>
      <c r="C11" t="s">
        <v>440</v>
      </c>
      <c r="D11">
        <v>0.1</v>
      </c>
      <c r="E11">
        <v>1</v>
      </c>
      <c r="F11" t="s">
        <v>441</v>
      </c>
      <c r="G11">
        <v>5</v>
      </c>
      <c r="H11">
        <v>46057</v>
      </c>
    </row>
    <row r="12" spans="1:38" x14ac:dyDescent="0.35">
      <c r="A12" t="s">
        <v>411</v>
      </c>
      <c r="B12">
        <v>3</v>
      </c>
      <c r="C12" t="s">
        <v>412</v>
      </c>
      <c r="D12">
        <v>0.2</v>
      </c>
      <c r="E12">
        <v>9</v>
      </c>
      <c r="F12" t="s">
        <v>442</v>
      </c>
      <c r="G12">
        <v>6</v>
      </c>
      <c r="H12">
        <v>46084</v>
      </c>
    </row>
    <row r="13" spans="1:38" x14ac:dyDescent="0.35">
      <c r="A13" t="s">
        <v>416</v>
      </c>
      <c r="B13" t="s">
        <v>443</v>
      </c>
      <c r="C13" t="s">
        <v>434</v>
      </c>
      <c r="D13">
        <v>55</v>
      </c>
      <c r="E13">
        <v>3</v>
      </c>
      <c r="F13" t="s">
        <v>444</v>
      </c>
      <c r="G13">
        <v>7</v>
      </c>
      <c r="H13">
        <v>46085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5" x14ac:dyDescent="0.35"/>
  <sheetData>
    <row r="1" spans="1:5" x14ac:dyDescent="0.35">
      <c r="A1" t="s">
        <v>445</v>
      </c>
      <c r="E1" t="s">
        <v>445</v>
      </c>
    </row>
    <row r="2" spans="1:5" x14ac:dyDescent="0.35">
      <c r="A2" t="s">
        <v>418</v>
      </c>
      <c r="E2" t="s">
        <v>425</v>
      </c>
    </row>
    <row r="3" spans="1:5" x14ac:dyDescent="0.35">
      <c r="A3" t="s">
        <v>446</v>
      </c>
    </row>
    <row r="9" spans="1:5" x14ac:dyDescent="0.35">
      <c r="C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9"/>
  <sheetViews>
    <sheetView tabSelected="1" topLeftCell="A26" workbookViewId="0">
      <selection activeCell="A79" sqref="A79"/>
    </sheetView>
  </sheetViews>
  <sheetFormatPr defaultRowHeight="14.5" x14ac:dyDescent="0.35"/>
  <sheetData>
    <row r="1" spans="1:1" x14ac:dyDescent="0.35">
      <c r="A1">
        <f>COUNT(data!D2:D13)</f>
        <v>12</v>
      </c>
    </row>
    <row r="2" spans="1:1" x14ac:dyDescent="0.35">
      <c r="A2">
        <f>COUNT(data!G2:G13)</f>
        <v>7</v>
      </c>
    </row>
    <row r="3" spans="1:1" x14ac:dyDescent="0.35">
      <c r="A3">
        <f>COUNT(1,TRUE,"2","x",1/0)</f>
        <v>3</v>
      </c>
    </row>
    <row r="4" spans="1:1" x14ac:dyDescent="0.35">
      <c r="A4">
        <f>COUNT(1,,2)</f>
        <v>3</v>
      </c>
    </row>
    <row r="5" spans="1:1" x14ac:dyDescent="0.35">
      <c r="A5">
        <f>COUNT(1/0)</f>
        <v>0</v>
      </c>
    </row>
    <row r="6" spans="1:1" x14ac:dyDescent="0.35">
      <c r="A6">
        <f>COUNT(data!J1)</f>
        <v>0</v>
      </c>
    </row>
    <row r="7" spans="1:1" x14ac:dyDescent="0.35">
      <c r="A7">
        <f>COUNTA(data!F2:F13)</f>
        <v>11</v>
      </c>
    </row>
    <row r="8" spans="1:1" x14ac:dyDescent="0.35">
      <c r="A8">
        <f>COUNTA(1,"",TRUE,1/0)</f>
        <v>4</v>
      </c>
    </row>
    <row r="9" spans="1:1" x14ac:dyDescent="0.35">
      <c r="A9">
        <f>COUNTA(data!J1)</f>
        <v>0</v>
      </c>
    </row>
    <row r="10" spans="1:1" x14ac:dyDescent="0.35">
      <c r="A10">
        <f>COUNTA(data!F7)</f>
        <v>1</v>
      </c>
    </row>
    <row r="11" spans="1:1" x14ac:dyDescent="0.35">
      <c r="A11">
        <f>COUNTA(1,,2)</f>
        <v>3</v>
      </c>
    </row>
    <row r="12" spans="1:1" x14ac:dyDescent="0.35">
      <c r="A12">
        <f>PRODUCT(data!E2:E5)</f>
        <v>30</v>
      </c>
    </row>
    <row r="13" spans="1:1" x14ac:dyDescent="0.35">
      <c r="A13" t="e">
        <f>PRODUCT(data!G2:G13)</f>
        <v>#DIV/0!</v>
      </c>
    </row>
    <row r="14" spans="1:1" x14ac:dyDescent="0.35">
      <c r="A14">
        <f>PRODUCT(2,"3",TRUE)</f>
        <v>6</v>
      </c>
    </row>
    <row r="15" spans="1:1" x14ac:dyDescent="0.35">
      <c r="A15" t="e">
        <f>PRODUCT("x")</f>
        <v>#VALUE!</v>
      </c>
    </row>
    <row r="16" spans="1:1" x14ac:dyDescent="0.35">
      <c r="A16">
        <f>PRODUCT(data!J1:J2)</f>
        <v>0</v>
      </c>
    </row>
    <row r="17" spans="1:1" x14ac:dyDescent="0.35">
      <c r="A17">
        <f>PRODUCT(data!D2:D13)</f>
        <v>-3.719925E+16</v>
      </c>
    </row>
    <row r="18" spans="1:1" x14ac:dyDescent="0.35">
      <c r="A18">
        <f>AVERAGE(data!E2:E13)</f>
        <v>3.5833333333333335</v>
      </c>
    </row>
    <row r="19" spans="1:1" x14ac:dyDescent="0.35">
      <c r="A19">
        <f>AVERAGE(1,"2",TRUE)</f>
        <v>1.3333333333333333</v>
      </c>
    </row>
    <row r="20" spans="1:1" x14ac:dyDescent="0.35">
      <c r="A20" t="e">
        <f>AVERAGE(data!J1:J2)</f>
        <v>#DIV/0!</v>
      </c>
    </row>
    <row r="21" spans="1:1" x14ac:dyDescent="0.35">
      <c r="A21">
        <f>AVERAGE(1,,2)</f>
        <v>1</v>
      </c>
    </row>
    <row r="22" spans="1:1" x14ac:dyDescent="0.35">
      <c r="A22" t="e">
        <f>AVERAGE("x")</f>
        <v>#VALUE!</v>
      </c>
    </row>
    <row r="23" spans="1:1" x14ac:dyDescent="0.35">
      <c r="A23">
        <f>AVERAGE(TRUE)</f>
        <v>1</v>
      </c>
    </row>
    <row r="24" spans="1:1" x14ac:dyDescent="0.35">
      <c r="A24">
        <f>AVERAGE(data!D2:D13)</f>
        <v>82.983333333333334</v>
      </c>
    </row>
    <row r="25" spans="1:1" x14ac:dyDescent="0.35">
      <c r="A25">
        <f>VAR(1,2,3,4)</f>
        <v>1.6666666666666667</v>
      </c>
    </row>
    <row r="26" spans="1:1" x14ac:dyDescent="0.35">
      <c r="A26">
        <f>_xlfn.VAR.S(1,2,3,4)</f>
        <v>1.6666666666666667</v>
      </c>
    </row>
    <row r="27" spans="1:1" x14ac:dyDescent="0.35">
      <c r="A27">
        <f>VARP(1,2,3,4)</f>
        <v>1.25</v>
      </c>
    </row>
    <row r="28" spans="1:1" x14ac:dyDescent="0.35">
      <c r="A28">
        <f>_xlfn.VAR.P(1,2,3,4)</f>
        <v>1.25</v>
      </c>
    </row>
    <row r="29" spans="1:1" x14ac:dyDescent="0.35">
      <c r="A29">
        <f>STDEV(1,2,3,4)</f>
        <v>1.2909944487358056</v>
      </c>
    </row>
    <row r="30" spans="1:1" x14ac:dyDescent="0.35">
      <c r="A30">
        <f>_xlfn.STDEV.S(1,2,3,4)</f>
        <v>1.2909944487358056</v>
      </c>
    </row>
    <row r="31" spans="1:1" x14ac:dyDescent="0.35">
      <c r="A31">
        <f>STDEVP(1,2,3,4)</f>
        <v>1.1180339887498949</v>
      </c>
    </row>
    <row r="32" spans="1:1" x14ac:dyDescent="0.35">
      <c r="A32">
        <f>_xlfn.STDEV.P(1,2,3,4)</f>
        <v>1.1180339887498949</v>
      </c>
    </row>
    <row r="33" spans="1:1" x14ac:dyDescent="0.35">
      <c r="A33" t="e">
        <f>STDEV(5)</f>
        <v>#DIV/0!</v>
      </c>
    </row>
    <row r="34" spans="1:1" x14ac:dyDescent="0.35">
      <c r="A34">
        <f>STDEVP(5)</f>
        <v>0</v>
      </c>
    </row>
    <row r="35" spans="1:1" x14ac:dyDescent="0.35">
      <c r="A35" t="e">
        <f>VARP(data!J1)</f>
        <v>#DIV/0!</v>
      </c>
    </row>
    <row r="36" spans="1:1" x14ac:dyDescent="0.35">
      <c r="A36">
        <f>VAR(1000000001,1000000002,1000000003)</f>
        <v>1</v>
      </c>
    </row>
    <row r="37" spans="1:1" x14ac:dyDescent="0.35">
      <c r="A37">
        <f>VAR(1000000000000000+1,1000000000000000+2,1000000000000000+3)</f>
        <v>1</v>
      </c>
    </row>
    <row r="38" spans="1:1" x14ac:dyDescent="0.35">
      <c r="A38">
        <f>VAR(0.1,0.2,0.3)</f>
        <v>9.9999999999999881E-3</v>
      </c>
    </row>
    <row r="39" spans="1:1" x14ac:dyDescent="0.35">
      <c r="A39">
        <f>STDEV(0.1,0.2,0.3)</f>
        <v>9.9999999999999936E-2</v>
      </c>
    </row>
    <row r="40" spans="1:1" x14ac:dyDescent="0.35">
      <c r="A40">
        <f>STDEV(data!E2:E13)</f>
        <v>2.7122058561364044</v>
      </c>
    </row>
    <row r="41" spans="1:1" x14ac:dyDescent="0.35">
      <c r="A41">
        <f>STDEVP(data!E2:E13)</f>
        <v>2.5967394084804805</v>
      </c>
    </row>
    <row r="42" spans="1:1" x14ac:dyDescent="0.35">
      <c r="A42">
        <f>VAR(data!D2:D13)</f>
        <v>10008.226969696971</v>
      </c>
    </row>
    <row r="43" spans="1:1" x14ac:dyDescent="0.35">
      <c r="A43">
        <f>VARP(data!D2:D13)</f>
        <v>9174.2080555555549</v>
      </c>
    </row>
    <row r="44" spans="1:1" x14ac:dyDescent="0.35">
      <c r="A44">
        <f>_xlfn.STDEV.S(data!D2:D13)</f>
        <v>100.04112639158443</v>
      </c>
    </row>
    <row r="45" spans="1:1" x14ac:dyDescent="0.35">
      <c r="A45">
        <f>_xlfn.STDEV.P(data!D2:D13)</f>
        <v>95.782086297780936</v>
      </c>
    </row>
    <row r="46" spans="1:1" x14ac:dyDescent="0.35">
      <c r="A46" t="e">
        <f>STDEV(data!G2:G13)</f>
        <v>#DIV/0!</v>
      </c>
    </row>
    <row r="47" spans="1:1" x14ac:dyDescent="0.35">
      <c r="A47">
        <f>VAR(data!H2:H13)</f>
        <v>8049.7196969696934</v>
      </c>
    </row>
    <row r="48" spans="1:1" x14ac:dyDescent="0.35">
      <c r="A48">
        <f>SUBTOTAL(1,data!D2:D13)</f>
        <v>82.983333333333334</v>
      </c>
    </row>
    <row r="49" spans="1:1" x14ac:dyDescent="0.35">
      <c r="A49">
        <f>SUBTOTAL(2,data!D2:D13)</f>
        <v>12</v>
      </c>
    </row>
    <row r="50" spans="1:1" x14ac:dyDescent="0.35">
      <c r="A50">
        <f>SUBTOTAL(3,data!D2:D13)</f>
        <v>12</v>
      </c>
    </row>
    <row r="51" spans="1:1" x14ac:dyDescent="0.35">
      <c r="A51">
        <f>SUBTOTAL(4,data!D2:D13)</f>
        <v>300</v>
      </c>
    </row>
    <row r="52" spans="1:1" x14ac:dyDescent="0.35">
      <c r="A52">
        <f>SUBTOTAL(5,data!D2:D13)</f>
        <v>-20</v>
      </c>
    </row>
    <row r="53" spans="1:1" x14ac:dyDescent="0.35">
      <c r="A53">
        <f>SUBTOTAL(6,data!D2:D13)</f>
        <v>-3.719925E+16</v>
      </c>
    </row>
    <row r="54" spans="1:1" x14ac:dyDescent="0.35">
      <c r="A54">
        <f>SUBTOTAL(7,data!D2:D13)</f>
        <v>100.04112639158443</v>
      </c>
    </row>
    <row r="55" spans="1:1" x14ac:dyDescent="0.35">
      <c r="A55">
        <f>SUBTOTAL(8,data!D2:D13)</f>
        <v>95.782086297780936</v>
      </c>
    </row>
    <row r="56" spans="1:1" x14ac:dyDescent="0.35">
      <c r="A56">
        <f>SUBTOTAL(9,data!D2:D13)</f>
        <v>995.80000000000007</v>
      </c>
    </row>
    <row r="57" spans="1:1" x14ac:dyDescent="0.35">
      <c r="A57">
        <f>SUBTOTAL(10,data!D2:D13)</f>
        <v>10008.226969696971</v>
      </c>
    </row>
    <row r="58" spans="1:1" x14ac:dyDescent="0.35">
      <c r="A58">
        <f>SUBTOTAL(11,data!D2:D13)</f>
        <v>9174.2080555555549</v>
      </c>
    </row>
    <row r="59" spans="1:1" x14ac:dyDescent="0.35">
      <c r="A59">
        <f>SUBTOTAL(101,data!D2:D13)</f>
        <v>63.254545454545458</v>
      </c>
    </row>
    <row r="60" spans="1:1" x14ac:dyDescent="0.35">
      <c r="A60">
        <f>SUBTOTAL(102,data!D2:D13)</f>
        <v>11</v>
      </c>
    </row>
    <row r="61" spans="1:1" x14ac:dyDescent="0.35">
      <c r="A61">
        <f>SUBTOTAL(103,data!D2:D13)</f>
        <v>11</v>
      </c>
    </row>
    <row r="62" spans="1:1" x14ac:dyDescent="0.35">
      <c r="A62">
        <f>SUBTOTAL(104,data!D2:D13)</f>
        <v>250.5</v>
      </c>
    </row>
    <row r="63" spans="1:1" x14ac:dyDescent="0.35">
      <c r="A63">
        <f>SUBTOTAL(105,data!D2:D13)</f>
        <v>-20</v>
      </c>
    </row>
    <row r="64" spans="1:1" x14ac:dyDescent="0.35">
      <c r="A64">
        <f>SUBTOTAL(106,data!D2:D13)</f>
        <v>-123997500000000</v>
      </c>
    </row>
    <row r="65" spans="1:1" x14ac:dyDescent="0.35">
      <c r="A65">
        <f>SUBTOTAL(107,data!D2:D13)</f>
        <v>76.624269831905906</v>
      </c>
    </row>
    <row r="66" spans="1:1" x14ac:dyDescent="0.35">
      <c r="A66">
        <f>SUBTOTAL(108,data!D2:D13)</f>
        <v>73.05837471298193</v>
      </c>
    </row>
    <row r="67" spans="1:1" x14ac:dyDescent="0.35">
      <c r="A67">
        <f>SUBTOTAL(109,data!D2:D13)</f>
        <v>695.80000000000007</v>
      </c>
    </row>
    <row r="68" spans="1:1" x14ac:dyDescent="0.35">
      <c r="A68">
        <f>SUBTOTAL(110,data!D2:D13)</f>
        <v>5871.2787272727255</v>
      </c>
    </row>
    <row r="69" spans="1:1" x14ac:dyDescent="0.35">
      <c r="A69">
        <f>SUBTOTAL(111,data!D2:D13)</f>
        <v>5337.526115702477</v>
      </c>
    </row>
    <row r="70" spans="1:1" x14ac:dyDescent="0.35">
      <c r="A70">
        <f>SUBTOTAL(102,data!G2:G13)</f>
        <v>7</v>
      </c>
    </row>
    <row r="71" spans="1:1" x14ac:dyDescent="0.35">
      <c r="A71">
        <f>SUBTOTAL(103,data!A2:A13)</f>
        <v>10</v>
      </c>
    </row>
    <row r="72" spans="1:1" x14ac:dyDescent="0.35">
      <c r="A72">
        <f>SUBTOTAL(103,data!F2:F13)</f>
        <v>11</v>
      </c>
    </row>
    <row r="73" spans="1:1" x14ac:dyDescent="0.35">
      <c r="A73">
        <f>SUBTOTAL(9,data!D2:D5)</f>
        <v>465.5</v>
      </c>
    </row>
    <row r="74" spans="1:1" x14ac:dyDescent="0.35">
      <c r="A74">
        <f>SUBTOTAL(109,data!D2:D13,data!E2:E13)</f>
        <v>734.80000000000007</v>
      </c>
    </row>
    <row r="75" spans="1:1" x14ac:dyDescent="0.35">
      <c r="A75">
        <f>SUBTOTAL(9,data!X1:X5)</f>
        <v>6</v>
      </c>
    </row>
    <row r="76" spans="1:1" x14ac:dyDescent="0.35">
      <c r="A76">
        <f>SUBTOTAL(109,data!X1:X5)</f>
        <v>6</v>
      </c>
    </row>
    <row r="77" spans="1:1" x14ac:dyDescent="0.35">
      <c r="A77" t="e">
        <f>SUBTOTAL(9,data!G2:G13)</f>
        <v>#DIV/0!</v>
      </c>
    </row>
    <row r="78" spans="1:1" x14ac:dyDescent="0.35">
      <c r="A78" t="e">
        <f>SUBTOTAL(109,data!G2:G13)</f>
        <v>#DIV/0!</v>
      </c>
    </row>
    <row r="79" spans="1:1" x14ac:dyDescent="0.35">
      <c r="A79" t="e">
        <f>SUBTOTAL(0,data!D2:D3)</f>
        <v>#VALUE!</v>
      </c>
    </row>
    <row r="80" spans="1:1" x14ac:dyDescent="0.35">
      <c r="A80" t="e">
        <f>SUBTOTAL(12,data!D2:D3)</f>
        <v>#VALUE!</v>
      </c>
    </row>
    <row r="81" spans="1:1" x14ac:dyDescent="0.35">
      <c r="A81" t="e">
        <f>SUBTOTAL(100,data!D2:D3)</f>
        <v>#VALUE!</v>
      </c>
    </row>
    <row r="82" spans="1:1" x14ac:dyDescent="0.35">
      <c r="A82" t="e">
        <f>SUBTOTAL(112,data!D2:D3)</f>
        <v>#VALUE!</v>
      </c>
    </row>
    <row r="83" spans="1:1" x14ac:dyDescent="0.35">
      <c r="A83" t="e">
        <f>SUBTOTAL(-9,data!D2:D3)</f>
        <v>#VALUE!</v>
      </c>
    </row>
    <row r="84" spans="1:1" x14ac:dyDescent="0.35">
      <c r="A84">
        <f>SUBTOTAL(9.7,data!D2:D3)</f>
        <v>350.5</v>
      </c>
    </row>
    <row r="85" spans="1:1" x14ac:dyDescent="0.35">
      <c r="A85">
        <f>SUBTOTAL("9",data!D2:D3)</f>
        <v>350.5</v>
      </c>
    </row>
    <row r="86" spans="1:1" x14ac:dyDescent="0.35">
      <c r="A86">
        <f>COUNTIF(data!F2:F13,"~~*")</f>
        <v>1</v>
      </c>
    </row>
    <row r="87" spans="1:1" x14ac:dyDescent="0.35">
      <c r="A87">
        <f>SUBTOTAL(109,data!D2:H2)</f>
        <v>46129</v>
      </c>
    </row>
    <row r="88" spans="1:1" x14ac:dyDescent="0.35">
      <c r="A88">
        <f>SUBTOTAL(109,data!D6:H6)</f>
        <v>0</v>
      </c>
    </row>
    <row r="89" spans="1:1" x14ac:dyDescent="0.35">
      <c r="A89">
        <f>SUBTOTAL(9,data!D6)</f>
        <v>300</v>
      </c>
    </row>
    <row r="90" spans="1:1" x14ac:dyDescent="0.35">
      <c r="A90">
        <f>SUBTOTAL(9,data!D7:H7)</f>
        <v>46216</v>
      </c>
    </row>
    <row r="91" spans="1:1" x14ac:dyDescent="0.35">
      <c r="A91">
        <f>SUMIFS(data!D2:D13,data!A2:A13,"Cash")</f>
        <v>310.2</v>
      </c>
    </row>
    <row r="92" spans="1:1" x14ac:dyDescent="0.35">
      <c r="A92">
        <f>SUMIFS(data!D2:D13,data!A2:A13,"Cash",data!B2:B13,3)</f>
        <v>125.2</v>
      </c>
    </row>
    <row r="93" spans="1:1" x14ac:dyDescent="0.35">
      <c r="A93">
        <f>SUMIFS(data!D2:D13,data!A2:A13,"Cash",data!B2:B13,"&gt;1")</f>
        <v>210.2</v>
      </c>
    </row>
    <row r="94" spans="1:1" x14ac:dyDescent="0.35">
      <c r="A94">
        <f>SUMIFS(data!D2:D13,data!C2:C13,"east")</f>
        <v>310.2</v>
      </c>
    </row>
    <row r="95" spans="1:1" x14ac:dyDescent="0.35">
      <c r="A95">
        <f>SUMIFS(data!D2:D13,data!A2:A13,"B*")</f>
        <v>550.6</v>
      </c>
    </row>
    <row r="96" spans="1:1" x14ac:dyDescent="0.35">
      <c r="A96">
        <f>SUMIFS(data!D2:D13,data!A2:A13,"?a??")</f>
        <v>935.80000000000007</v>
      </c>
    </row>
    <row r="97" spans="1:1" x14ac:dyDescent="0.35">
      <c r="A97">
        <f>SUMIFS(data!D2:D13,data!A2:A13,"")</f>
        <v>60</v>
      </c>
    </row>
    <row r="98" spans="1:1" x14ac:dyDescent="0.35">
      <c r="A98">
        <f>SUMIFS(data!D2:D13,data!A2:A13,"=")</f>
        <v>60</v>
      </c>
    </row>
    <row r="99" spans="1:1" x14ac:dyDescent="0.35">
      <c r="A99">
        <f>SUMIFS(data!D2:D13,data!A2:A13,"&lt;&gt;")</f>
        <v>935.80000000000007</v>
      </c>
    </row>
    <row r="100" spans="1:1" x14ac:dyDescent="0.35">
      <c r="A100">
        <f>SUMIFS(data!D2:D13,data!B2:B13,"3")</f>
        <v>480.2</v>
      </c>
    </row>
    <row r="101" spans="1:1" x14ac:dyDescent="0.35">
      <c r="A101">
        <f>SUMIFS(data!D2:D13,data!B2:B13,3)</f>
        <v>480.2</v>
      </c>
    </row>
    <row r="102" spans="1:1" x14ac:dyDescent="0.35">
      <c r="A102">
        <f>SUMIFS(data!D2:D13,data!B2:B13,"&gt;=3")</f>
        <v>435.2</v>
      </c>
    </row>
    <row r="103" spans="1:1" x14ac:dyDescent="0.35">
      <c r="A103">
        <f>SUMIFS(data!D2:D13,data!B2:B13,"&lt;&gt;3")</f>
        <v>570.6</v>
      </c>
    </row>
    <row r="104" spans="1:1" x14ac:dyDescent="0.35">
      <c r="A104">
        <f>SUMIFS(data!D2:D13,data!G2:G13,TRUE)</f>
        <v>250.5</v>
      </c>
    </row>
    <row r="105" spans="1:1" x14ac:dyDescent="0.35">
      <c r="A105">
        <f>SUMIFS(data!D2:D13,data!G2:G13,"#DIV/0!")</f>
        <v>40</v>
      </c>
    </row>
    <row r="106" spans="1:1" x14ac:dyDescent="0.35">
      <c r="A106">
        <f>SUMIFS(data!D2:D13,data!F2:F13,"a~*b")</f>
        <v>250.5</v>
      </c>
    </row>
    <row r="107" spans="1:1" x14ac:dyDescent="0.35">
      <c r="A107">
        <f>SUMIFS(data!D2:D13,data!F2:F13,"a?b")</f>
        <v>325.5</v>
      </c>
    </row>
    <row r="108" spans="1:1" x14ac:dyDescent="0.35">
      <c r="A108">
        <f>SUMIFS(data!D2:D13,data!F2:F13,"~~tilde")</f>
        <v>0</v>
      </c>
    </row>
    <row r="109" spans="1:1" x14ac:dyDescent="0.35">
      <c r="A109">
        <f>SUMIFS(data!D2:D13,data!F2:F13,"*")</f>
        <v>695.80000000000007</v>
      </c>
    </row>
    <row r="110" spans="1:1" x14ac:dyDescent="0.35">
      <c r="A110">
        <f>SUMIFS(data!D2:D13,data!F2:F13,"?*")</f>
        <v>570.80000000000007</v>
      </c>
    </row>
    <row r="111" spans="1:1" x14ac:dyDescent="0.35">
      <c r="A111">
        <f>SUMIFS(data!D2:D13,data!B2:B13,"&gt;1",data!B2:B13,"&lt;3")</f>
        <v>175.1</v>
      </c>
    </row>
    <row r="112" spans="1:1" x14ac:dyDescent="0.35">
      <c r="A112" t="e">
        <f>SUMIFS(data!G2:G13,data!A2:A13,"Card")</f>
        <v>#DIV/0!</v>
      </c>
    </row>
    <row r="113" spans="1:1" x14ac:dyDescent="0.35">
      <c r="A113">
        <f>SUMIFS(data!G2:G13,data!A2:A13,"Cash")</f>
        <v>12</v>
      </c>
    </row>
    <row r="114" spans="1:1" x14ac:dyDescent="0.35">
      <c r="A114" t="e">
        <f>SUMIFS(data!D2:D13,data!A2:A12,"Cash")</f>
        <v>#VALUE!</v>
      </c>
    </row>
    <row r="115" spans="1:1" x14ac:dyDescent="0.35">
      <c r="A115">
        <f>SUMIFS(data!D2:D13,data!A2:A13,data!J1)</f>
        <v>0</v>
      </c>
    </row>
    <row r="116" spans="1:1" x14ac:dyDescent="0.35">
      <c r="A116">
        <f>SUMIFS(data!D2:D13,data!H2:H13,"&gt;="&amp;DATE(2026,2,1))</f>
        <v>665.30000000000007</v>
      </c>
    </row>
    <row r="117" spans="1:1" x14ac:dyDescent="0.35">
      <c r="A117">
        <f>SUMIFS(data!D:D,data!A:A,"Cash")</f>
        <v>310.2</v>
      </c>
    </row>
    <row r="118" spans="1:1" x14ac:dyDescent="0.35">
      <c r="A118">
        <f>SUMIFS(data!D2:E13,data!A2:B13,"Cash")</f>
        <v>310.2</v>
      </c>
    </row>
    <row r="119" spans="1:1" x14ac:dyDescent="0.35">
      <c r="A119">
        <f>SUMIFS(data!D2:D13,data!A2:A13,"Cash",data!C2:C13,"East",data!E2:E13,"&gt;2")</f>
        <v>225.2</v>
      </c>
    </row>
    <row r="120" spans="1:1" x14ac:dyDescent="0.35">
      <c r="A120">
        <f>COUNTIFS(data!A2:A13,"Cash",data!B2:B13,"&gt;1")</f>
        <v>4</v>
      </c>
    </row>
    <row r="121" spans="1:1" x14ac:dyDescent="0.35">
      <c r="A121">
        <f>COUNTIFS(data!A2:A13,"&lt;&gt;Cash")</f>
        <v>7</v>
      </c>
    </row>
    <row r="122" spans="1:1" x14ac:dyDescent="0.35">
      <c r="A122">
        <f>COUNTIFS(data!F2:F13,"")</f>
        <v>2</v>
      </c>
    </row>
    <row r="123" spans="1:1" x14ac:dyDescent="0.35">
      <c r="A123">
        <f>COUNTIFS(data!A2:A13,"*")</f>
        <v>11</v>
      </c>
    </row>
    <row r="124" spans="1:1" x14ac:dyDescent="0.35">
      <c r="A124">
        <f>COUNTIFS(data!A:A,"Cash")</f>
        <v>5</v>
      </c>
    </row>
    <row r="125" spans="1:1" x14ac:dyDescent="0.35">
      <c r="A125">
        <f>COUNTIFS(data!A:A,"")</f>
        <v>1048564</v>
      </c>
    </row>
    <row r="126" spans="1:1" x14ac:dyDescent="0.35">
      <c r="A126">
        <f>COUNTIFS(data!A:A,"",data!B:B,"")</f>
        <v>1048563</v>
      </c>
    </row>
    <row r="127" spans="1:1" x14ac:dyDescent="0.35">
      <c r="A127" t="e">
        <f>COUNTIFS(data!A2:A13,"Cash",data!B2:B12,3)</f>
        <v>#VALUE!</v>
      </c>
    </row>
    <row r="128" spans="1:1" x14ac:dyDescent="0.35">
      <c r="A128">
        <f>COUNTIFS(data!B2:B13,data!J1)</f>
        <v>0</v>
      </c>
    </row>
    <row r="129" spans="1:1" x14ac:dyDescent="0.35">
      <c r="A129">
        <f>COUNTIFS(data!E2:E13,data!J1)</f>
        <v>1</v>
      </c>
    </row>
    <row r="130" spans="1:1" x14ac:dyDescent="0.35">
      <c r="A130">
        <f>COUNTIFS(data!G2:G13,"&lt;&gt;#DIV/0!")</f>
        <v>11</v>
      </c>
    </row>
    <row r="131" spans="1:1" x14ac:dyDescent="0.35">
      <c r="A131">
        <f>COUNTIFS(data!G2:G13,"&gt;=2")</f>
        <v>6</v>
      </c>
    </row>
    <row r="132" spans="1:1" x14ac:dyDescent="0.35">
      <c r="A132">
        <f>COUNTIFS(data!A2:A13,"cash",data!C2:C13,"EAST")</f>
        <v>5</v>
      </c>
    </row>
    <row r="133" spans="1:1" x14ac:dyDescent="0.35">
      <c r="A133">
        <f>AVERAGEIF(data!D2:D13,"&gt;100")</f>
        <v>225.16666666666666</v>
      </c>
    </row>
    <row r="134" spans="1:1" x14ac:dyDescent="0.35">
      <c r="A134">
        <f>AVERAGEIF(data!A2:A13,"Cash",data!D2:D13)</f>
        <v>62.04</v>
      </c>
    </row>
    <row r="135" spans="1:1" x14ac:dyDescent="0.35">
      <c r="A135">
        <f ca="1">AVERAGEIF(data!A2:A13,"Cash",data!D2)</f>
        <v>62.04</v>
      </c>
    </row>
    <row r="136" spans="1:1" x14ac:dyDescent="0.35">
      <c r="A136">
        <f>AVERAGEIF(data!A2:A13,"Cash",data!D2:E13)</f>
        <v>62.04</v>
      </c>
    </row>
    <row r="137" spans="1:1" x14ac:dyDescent="0.35">
      <c r="A137" t="e">
        <f>AVERAGEIF(data!A2:A13,"Nope",data!D2:D13)</f>
        <v>#DIV/0!</v>
      </c>
    </row>
    <row r="138" spans="1:1" x14ac:dyDescent="0.35">
      <c r="A138">
        <f>AVERAGEIF(data!G2:G13,"&gt;0")</f>
        <v>4</v>
      </c>
    </row>
    <row r="139" spans="1:1" x14ac:dyDescent="0.35">
      <c r="A139" t="e">
        <f>AVERAGEIF(data!G2:G13,"&lt;&gt;")</f>
        <v>#DIV/0!</v>
      </c>
    </row>
    <row r="140" spans="1:1" x14ac:dyDescent="0.35">
      <c r="A140">
        <f>AVERAGEIFS(data!D2:D13,data!A2:A13,"Cash",data!B2:B13,3)</f>
        <v>62.6</v>
      </c>
    </row>
    <row r="141" spans="1:1" x14ac:dyDescent="0.35">
      <c r="A141" t="e">
        <f>AVERAGEIFS(data!D2:D13,data!A2:A13,"Nope")</f>
        <v>#DIV/0!</v>
      </c>
    </row>
    <row r="142" spans="1:1" x14ac:dyDescent="0.35">
      <c r="A142">
        <f>AVERAGEIFS(data!G2:G13,data!A2:A13,"Cash")</f>
        <v>3</v>
      </c>
    </row>
    <row r="143" spans="1:1" x14ac:dyDescent="0.35">
      <c r="A143" t="e">
        <f>AVERAGEIFS(data!D2:D13,data!A2:A12,"Cash")</f>
        <v>#VALUE!</v>
      </c>
    </row>
    <row r="144" spans="1:1" x14ac:dyDescent="0.35">
      <c r="A144">
        <f>_xlfn.MAXIFS(data!D2:D13,data!A2:A13,"Card")</f>
        <v>55</v>
      </c>
    </row>
    <row r="145" spans="1:1" x14ac:dyDescent="0.35">
      <c r="A145">
        <f>_xlfn.MINIFS(data!D2:D13,data!A2:A13,"Card")</f>
        <v>-20</v>
      </c>
    </row>
    <row r="146" spans="1:1" x14ac:dyDescent="0.35">
      <c r="A146">
        <f>_xlfn.MAXIFS(data!D2:D13,data!A2:A13,"Nope")</f>
        <v>0</v>
      </c>
    </row>
    <row r="147" spans="1:1" x14ac:dyDescent="0.35">
      <c r="A147">
        <f>_xlfn.MINIFS(data!D2:D13,data!A2:A13,"Nope")</f>
        <v>0</v>
      </c>
    </row>
    <row r="148" spans="1:1" x14ac:dyDescent="0.35">
      <c r="A148" t="e">
        <f>_xlfn.MAXIFS(data!G2:G13,data!A2:A13,"Card")</f>
        <v>#DIV/0!</v>
      </c>
    </row>
    <row r="149" spans="1:1" x14ac:dyDescent="0.35">
      <c r="A149" t="e">
        <f>_xlfn.MAXIFS(data!D2:D13,data!A2:A12,"Card")</f>
        <v>#VALUE!</v>
      </c>
    </row>
    <row r="150" spans="1:1" x14ac:dyDescent="0.35">
      <c r="A150">
        <f>_xlfn.MINIFS(data!E2:E13,data!C2:C13,"West",data!B2:B13,"&gt;=2")</f>
        <v>1</v>
      </c>
    </row>
    <row r="151" spans="1:1" x14ac:dyDescent="0.35">
      <c r="A151">
        <f>_xlfn.MAXIFS(data!H2:H13,data!A2:A13,"&lt;&gt;Cash")</f>
        <v>46085</v>
      </c>
    </row>
    <row r="152" spans="1:1" x14ac:dyDescent="0.35">
      <c r="A152">
        <f>DSUM(data!A1:H13,"Amount",data!K1:K2)</f>
        <v>310.2</v>
      </c>
    </row>
    <row r="153" spans="1:1" x14ac:dyDescent="0.35">
      <c r="A153">
        <f>DSUM(data!A1:H13,4,data!K1:K2)</f>
        <v>310.2</v>
      </c>
    </row>
    <row r="154" spans="1:1" x14ac:dyDescent="0.35">
      <c r="A154">
        <f>DSUM(data!A1:H13,4.7,data!K1:K2)</f>
        <v>310.2</v>
      </c>
    </row>
    <row r="155" spans="1:1" x14ac:dyDescent="0.35">
      <c r="A155">
        <f>DSUM(data!A1:H13,"amount",data!K1:K2)</f>
        <v>310.2</v>
      </c>
    </row>
    <row r="156" spans="1:1" x14ac:dyDescent="0.35">
      <c r="A156" t="e">
        <f>DSUM(data!A1:H13,"Amt",data!K1:K2)</f>
        <v>#VALUE!</v>
      </c>
    </row>
    <row r="157" spans="1:1" x14ac:dyDescent="0.35">
      <c r="A157" t="e">
        <f>DSUM(data!A1:H13,0,data!K1:K2)</f>
        <v>#VALUE!</v>
      </c>
    </row>
    <row r="158" spans="1:1" x14ac:dyDescent="0.35">
      <c r="A158" t="e">
        <f>DSUM(data!A1:H13,9,data!K1:K2)</f>
        <v>#VALUE!</v>
      </c>
    </row>
    <row r="159" spans="1:1" x14ac:dyDescent="0.35">
      <c r="A159" t="e">
        <f>DSUM(data!A1:H13,,data!K1:K2)</f>
        <v>#VALUE!</v>
      </c>
    </row>
    <row r="160" spans="1:1" x14ac:dyDescent="0.35">
      <c r="A160" t="e">
        <f>DSUM(data!A1:H13,"4",data!K1:K2)</f>
        <v>#VALUE!</v>
      </c>
    </row>
    <row r="161" spans="1:1" x14ac:dyDescent="0.35">
      <c r="A161">
        <f>DSUM(data!A1:H13,data!D1,data!K1:K2)</f>
        <v>310.2</v>
      </c>
    </row>
    <row r="162" spans="1:1" x14ac:dyDescent="0.35">
      <c r="A162">
        <f>DCOUNTA(data!A1:H13,"Note",data!L1:L2)</f>
        <v>4</v>
      </c>
    </row>
    <row r="163" spans="1:1" x14ac:dyDescent="0.35">
      <c r="A163">
        <f>DCOUNTA(data!A1:H13,"Note",data!M1:M2)</f>
        <v>1</v>
      </c>
    </row>
    <row r="164" spans="1:1" x14ac:dyDescent="0.35">
      <c r="A164">
        <f>DCOUNTA(data!A1:H13,"Note",data!Y1:Y2)</f>
        <v>4</v>
      </c>
    </row>
    <row r="165" spans="1:1" x14ac:dyDescent="0.35">
      <c r="A165">
        <f>DCOUNTA(data!A1:H13,"Note",data!Z1:Z2)</f>
        <v>2</v>
      </c>
    </row>
    <row r="166" spans="1:1" x14ac:dyDescent="0.35">
      <c r="A166">
        <f>DCOUNTA(data!A1:H13,"Note",data!AA1:AA2)</f>
        <v>4</v>
      </c>
    </row>
    <row r="167" spans="1:1" x14ac:dyDescent="0.35">
      <c r="A167">
        <f>DSUM(data!A1:H13,"Amount",data!N1:N2)</f>
        <v>480.2</v>
      </c>
    </row>
    <row r="168" spans="1:1" x14ac:dyDescent="0.35">
      <c r="A168">
        <f>DSUM(data!A1:H13,"Amount",data!O1:P2)</f>
        <v>125.2</v>
      </c>
    </row>
    <row r="169" spans="1:1" x14ac:dyDescent="0.35">
      <c r="A169">
        <f>DSUM(data!A1:H13,"Amount",data!Q1:Q3)</f>
        <v>625.6</v>
      </c>
    </row>
    <row r="170" spans="1:1" x14ac:dyDescent="0.35">
      <c r="A170">
        <f>DSUM(data!A1:H13,"Amount",data!R1:R3)</f>
        <v>995.80000000000007</v>
      </c>
    </row>
    <row r="171" spans="1:1" x14ac:dyDescent="0.35">
      <c r="A171">
        <f>DCOUNT(data!A1:H13,"Qty",data!S1:S2)</f>
        <v>4</v>
      </c>
    </row>
    <row r="172" spans="1:1" x14ac:dyDescent="0.35">
      <c r="A172">
        <f>DSUM(data!A1:H13,"Amount",data!T1:T2)</f>
        <v>0</v>
      </c>
    </row>
    <row r="173" spans="1:1" x14ac:dyDescent="0.35">
      <c r="A173">
        <f>DSUM(data!A1:H13,"Amount",data!U1:U2)</f>
        <v>675.5</v>
      </c>
    </row>
    <row r="174" spans="1:1" x14ac:dyDescent="0.35">
      <c r="A174">
        <f>DSUM(data!A1:H13,"Amount",data!AB1:AB2)</f>
        <v>10</v>
      </c>
    </row>
    <row r="175" spans="1:1" x14ac:dyDescent="0.35">
      <c r="A175">
        <f>DSUM(data!A1:H13,"Amount",data!AC1:AC2)</f>
        <v>10</v>
      </c>
    </row>
    <row r="176" spans="1:1" x14ac:dyDescent="0.35">
      <c r="A176">
        <f>DSUM(data!A1:H13,"Amount",data!AD1:AD2)</f>
        <v>675.5</v>
      </c>
    </row>
    <row r="177" spans="1:1" x14ac:dyDescent="0.35">
      <c r="A177">
        <f>DCOUNTA(data!A1:H13,"Account",data!AE1:AE2)</f>
        <v>6</v>
      </c>
    </row>
    <row r="178" spans="1:1" x14ac:dyDescent="0.35">
      <c r="A178">
        <f>DCOUNT(data!A1:H13,,data!AE1:AE2)</f>
        <v>7</v>
      </c>
    </row>
    <row r="179" spans="1:1" x14ac:dyDescent="0.35">
      <c r="A179">
        <f>DSUM(data!A1:H13,"Amount",data!AF1:AF2)</f>
        <v>60</v>
      </c>
    </row>
    <row r="180" spans="1:1" x14ac:dyDescent="0.35">
      <c r="A180">
        <f>DCOUNT(data!A1:H13,,data!AG1:AG2)</f>
        <v>11</v>
      </c>
    </row>
    <row r="181" spans="1:1" x14ac:dyDescent="0.35">
      <c r="A181">
        <f>DSUM(data!A1:H13,"Amount",data!AH1:AH2)</f>
        <v>250.5</v>
      </c>
    </row>
    <row r="182" spans="1:1" x14ac:dyDescent="0.35">
      <c r="A182">
        <f>DSUM(data!A1:H13,"Amount",data!AI1:AJ3)</f>
        <v>200.2</v>
      </c>
    </row>
    <row r="183" spans="1:1" x14ac:dyDescent="0.35">
      <c r="A183">
        <f>DCOUNT(data!A1:H13,"Mixed",data!AK1:AK2)</f>
        <v>6</v>
      </c>
    </row>
    <row r="184" spans="1:1" x14ac:dyDescent="0.35">
      <c r="A184" t="e">
        <f>DGET(data!A1:H13,"Amount",data!O1:P2)</f>
        <v>#NUM!</v>
      </c>
    </row>
    <row r="185" spans="1:1" x14ac:dyDescent="0.35">
      <c r="A185">
        <f>DGET(data!A1:H13,"Amount",data!M1:M2)</f>
        <v>-20</v>
      </c>
    </row>
    <row r="186" spans="1:1" x14ac:dyDescent="0.35">
      <c r="A186" t="e">
        <f>DGET(data!A1:H13,"Amount",data!W1:W2)</f>
        <v>#VALUE!</v>
      </c>
    </row>
    <row r="187" spans="1:1" x14ac:dyDescent="0.35">
      <c r="A187" t="str">
        <f>DGET(data!A1:H13,"Note",data!M1:M2)</f>
        <v>Dav</v>
      </c>
    </row>
    <row r="188" spans="1:1" x14ac:dyDescent="0.35">
      <c r="A188" t="e">
        <f>DGET(data!A1:H13,"Mixed",data!M1:M2)</f>
        <v>#VALUE!</v>
      </c>
    </row>
    <row r="189" spans="1:1" x14ac:dyDescent="0.35">
      <c r="A189">
        <f>DCOUNT(data!A1:H13,,data!K1:K2)</f>
        <v>5</v>
      </c>
    </row>
    <row r="190" spans="1:1" x14ac:dyDescent="0.35">
      <c r="A190">
        <f>DCOUNTA(data!A1:H13,,data!K1:K2)</f>
        <v>5</v>
      </c>
    </row>
    <row r="191" spans="1:1" x14ac:dyDescent="0.35">
      <c r="A191">
        <f>DCOUNT(data!A1:H13,"Mixed",data!K1:K2)</f>
        <v>4</v>
      </c>
    </row>
    <row r="192" spans="1:1" x14ac:dyDescent="0.35">
      <c r="A192">
        <f>DCOUNTA(data!A1:H13,"Mixed",data!K1:K2)</f>
        <v>5</v>
      </c>
    </row>
    <row r="193" spans="1:1" x14ac:dyDescent="0.35">
      <c r="A193">
        <f>DAVERAGE(data!A1:H13,"Amount",data!K1:K2)</f>
        <v>62.04</v>
      </c>
    </row>
    <row r="194" spans="1:1" x14ac:dyDescent="0.35">
      <c r="A194" t="e">
        <f>DAVERAGE(data!A1:H13,"Amount",data!W1:W2)</f>
        <v>#DIV/0!</v>
      </c>
    </row>
    <row r="195" spans="1:1" x14ac:dyDescent="0.35">
      <c r="A195">
        <f>DMAX(data!A1:H13,"Amount",data!K1:K2)</f>
        <v>125</v>
      </c>
    </row>
    <row r="196" spans="1:1" x14ac:dyDescent="0.35">
      <c r="A196">
        <f>DMIN(data!A1:H13,"Amount",data!K1:K2)</f>
        <v>0.2</v>
      </c>
    </row>
    <row r="197" spans="1:1" x14ac:dyDescent="0.35">
      <c r="A197">
        <f>DMAX(data!A1:H13,"Amount",data!W1:W2)</f>
        <v>0</v>
      </c>
    </row>
    <row r="198" spans="1:1" x14ac:dyDescent="0.35">
      <c r="A198">
        <f>DMIN(data!A1:H13,"Amount",data!W1:W2)</f>
        <v>0</v>
      </c>
    </row>
    <row r="199" spans="1:1" x14ac:dyDescent="0.35">
      <c r="A199">
        <f>DPRODUCT(data!A1:H13,"Qty",data!K1:K2)</f>
        <v>0</v>
      </c>
    </row>
    <row r="200" spans="1:1" x14ac:dyDescent="0.35">
      <c r="A200">
        <f>DPRODUCT(data!A1:H13,"Qty",data!W1:W2)</f>
        <v>0</v>
      </c>
    </row>
    <row r="201" spans="1:1" x14ac:dyDescent="0.35">
      <c r="A201">
        <f>DSTDEV(data!A1:H13,"Qty",data!K1:K2)</f>
        <v>3.5071355833500366</v>
      </c>
    </row>
    <row r="202" spans="1:1" x14ac:dyDescent="0.35">
      <c r="A202">
        <f>DSTDEVP(data!A1:H13,"Qty",data!K1:K2)</f>
        <v>3.1368774282716245</v>
      </c>
    </row>
    <row r="203" spans="1:1" x14ac:dyDescent="0.35">
      <c r="A203">
        <f>DVAR(data!A1:H13,"Qty",data!K1:K2)</f>
        <v>12.3</v>
      </c>
    </row>
    <row r="204" spans="1:1" x14ac:dyDescent="0.35">
      <c r="A204">
        <f>DVARP(data!A1:H13,"Qty",data!K1:K2)</f>
        <v>9.84</v>
      </c>
    </row>
    <row r="205" spans="1:1" x14ac:dyDescent="0.35">
      <c r="A205" t="e">
        <f>DSTDEV(data!A1:H13,"Qty",data!M1:M2)</f>
        <v>#DIV/0!</v>
      </c>
    </row>
    <row r="206" spans="1:1" x14ac:dyDescent="0.35">
      <c r="A206">
        <f>DSUM(data!A1:H13,"Mixed",data!K1:K2)</f>
        <v>12</v>
      </c>
    </row>
    <row r="207" spans="1:1" x14ac:dyDescent="0.35">
      <c r="A207" t="e">
        <f>DSUM(data!A1:H13,"Mixed",data!Q1:Q3)</f>
        <v>#DIV/0!</v>
      </c>
    </row>
    <row r="208" spans="1:1" x14ac:dyDescent="0.35">
      <c r="A208" t="e">
        <f>DSUM(data!A1:H13,"Amount",data!K1)</f>
        <v>#VALUE!</v>
      </c>
    </row>
    <row r="209" spans="1:1" x14ac:dyDescent="0.35">
      <c r="A209">
        <f>DSUM(data!A1:H13,"Amount",data!K2:K3)</f>
        <v>995.80000000000007</v>
      </c>
    </row>
    <row r="210" spans="1:1" x14ac:dyDescent="0.35">
      <c r="A210">
        <f>DSUM(data!A:H,"Amount",data!K1:K2)</f>
        <v>310.2</v>
      </c>
    </row>
    <row r="211" spans="1:1" x14ac:dyDescent="0.35">
      <c r="A211">
        <f>DCOUNTA(data!A:H,,data!AF1:AF2)</f>
        <v>1</v>
      </c>
    </row>
    <row r="212" spans="1:1" x14ac:dyDescent="0.35">
      <c r="A212">
        <f>DSUM(data!A1:H13,"Amount",data!K1:L2)</f>
        <v>10</v>
      </c>
    </row>
    <row r="213" spans="1:1" x14ac:dyDescent="0.35">
      <c r="A213" t="e">
        <f>DGET(data!A1:H13,"Note",data!AL1:AL2)</f>
        <v>#VALUE!</v>
      </c>
    </row>
    <row r="214" spans="1:1" x14ac:dyDescent="0.35">
      <c r="A214">
        <f>COUNTIF(data!F2:F13,"~tilde")</f>
        <v>1</v>
      </c>
    </row>
    <row r="215" spans="1:1" x14ac:dyDescent="0.35">
      <c r="A215">
        <f>COUNTIF(data!F2:F13,"~t*")</f>
        <v>0</v>
      </c>
    </row>
    <row r="216" spans="1:1" x14ac:dyDescent="0.35">
      <c r="A216">
        <f>MATCH("~~tilde",data!F2:F13,0)</f>
        <v>4</v>
      </c>
    </row>
    <row r="217" spans="1:1" x14ac:dyDescent="0.35">
      <c r="A217" t="e">
        <f>MATCH("~tilde",data!F2:F13,0)</f>
        <v>#N/A</v>
      </c>
    </row>
    <row r="218" spans="1:1" x14ac:dyDescent="0.35">
      <c r="A218">
        <f>DCOUNTA(far!A:A,,far!E1:E2)</f>
        <v>6</v>
      </c>
    </row>
    <row r="219" spans="1:1" x14ac:dyDescent="0.35">
      <c r="A219">
        <f>DSUM(data!A1:H13,"Amount",data!K13:K15)</f>
        <v>995.80000000000007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Frazaro</vt:lpstr>
      <vt:lpstr>data</vt:lpstr>
      <vt:lpstr>far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Johnson</dc:creator>
  <cp:lastModifiedBy>Preston Johnson</cp:lastModifiedBy>
  <dcterms:created xsi:type="dcterms:W3CDTF">2026-10-21T01:33:38Z</dcterms:created>
  <dcterms:modified xsi:type="dcterms:W3CDTF">2026-10-21T01:33:38Z</dcterms:modified>
</cp:coreProperties>
</file>