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frazaro_1.xml" ContentType="application/vnd.openxmlformats-officedocument.spreadsheetml.worksheet+xml"/>
  <Override PartName="/xl/worksheets/frazaro_2.xml" ContentType="application/vnd.openxmlformats-officedocument.spreadsheetml.worksheet+xml"/>
  <Override PartName="/xl/worksheets/frazaro_3.xml" ContentType="application/vnd.openxmlformats-officedocument.spreadsheetml.worksheet+xml"/>
  <Override PartName="/xl/worksheets/frazaro_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razaro" sheetId="1" r:id="rIdFrazaro1"/>
    <sheet name="data" sheetId="2" r:id="rIdFrazaro2"/>
    <sheet name="functions" sheetId="3" r:id="rIdFrazaro3"/>
    <sheet name="calendar" sheetId="4" r:id="rIdFrazaro4"/>
  </sheets>
  <definedNames>
    <definedName name="Frazaro.Build">"Frazaro 0.10.1; sentences sha256:67110A4410082E96B4F769994A1C94EADD41C896A81E67BED9211C498A921699 over 19791 non-whitespace bytes; prelude sha256:887F55C46AA71563EE5DE0F74E3D4DB1C0022986248AD1FBF8A7A63711AC508C over 27033 non-whitespace bytes; phrasebook 1 sha256:5E5FF4121AA83D783E926C1A78B8E8C7C45BFE1E1184340F8D93A0285DDCB949 over 167902 non-whitespace bytes"</definedName>
  </definedName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7F4F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2" borderId="0" xfId="0" applyNumberForma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Frazaro1" Type="http://schemas.openxmlformats.org/officeDocument/2006/relationships/worksheet" Target="worksheets/frazaro_1.xml"/>
<Relationship Id="rIdFrazaro2" Type="http://schemas.openxmlformats.org/officeDocument/2006/relationships/worksheet" Target="worksheets/frazaro_2.xml"/>
<Relationship Id="rIdFrazaro3" Type="http://schemas.openxmlformats.org/officeDocument/2006/relationships/worksheet" Target="worksheets/frazaro_3.xml"/>
<Relationship Id="rIdFrazaro4" Type="http://schemas.openxmlformats.org/officeDocument/2006/relationships/worksheet" Target="worksheets/frazaro_4.xml"/>
<Relationship Id="rIdFrazaroStyles" Type="http://schemas.openxmlformats.org/officeDocument/2006/relationships/styles" Target="styles.xml"/>
</Relationships>

</file>

<file path=xl/worksheets/frazaro_1.xml><?xml version="1.0" encoding="utf-8"?>
<worksheet xmlns="http://schemas.openxmlformats.org/spreadsheetml/2006/main" xmlns:r="http://schemas.openxmlformats.org/officeDocument/2006/relationships">
  <dimension ref="B1:C414"/>
  <sheetViews>
    <sheetView showGridLines="0" tabSelected="1" workbookViewId="0">
      <selection activeCell="B1" sqref="B1"/>
    </sheetView>
  </sheetViews>
  <sheetFormatPr defaultRowHeight="15"/>
  <cols>
    <col min="1" max="1" width="0" hidden="1" customWidth="1"/>
    <col min="2" max="2" width="72.7109375" customWidth="1" style="1"/>
    <col min="3" max="3" width="60.7109375" customWidth="1" style="2"/>
  </cols>
  <sheetData>
    <row r="1">
      <c r="B1" s="1" t="inlineStr">
        <is>
          <t xml:space="preserve"># The date functions' fixture (KERNEL.8, slice d): a Data sheet of the dates the functions read, serials of 2026's</t>
        </is>
      </c>
      <c r="C1" s="3" t="inlineStr">
        <is>
          <t xml:space="preserve">OK</t>
        </is>
      </c>
    </row>
    <row r="2">
      <c r="B2" s="1" t="inlineStr">
        <is>
          <t xml:space="preserve"># first day, of 2024's leap day, of 1900's day that never was and of the calendar's day 0 and last day, a time, a</t>
        </is>
      </c>
      <c r="C2" s="3" t="inlineStr">
        <is>
          <t xml:space="preserve">OK</t>
        </is>
      </c>
    </row>
    <row r="3">
      <c r="B3" s="1" t="inlineStr">
        <is>
          <t xml:space="preserve"># truth value, an error, texts a locale reads and one spelling a number, and holidays, one given twice, one on a</t>
        </is>
      </c>
      <c r="C3" s="3" t="inlineStr">
        <is>
          <t xml:space="preserve">OK</t>
        </is>
      </c>
    </row>
    <row r="4">
      <c r="B4" s="1" t="inlineStr">
        <is>
          <t xml:space="preserve"># weekend, one empty and one far off, beside holidays of a text, a truth value and a date a locale reads; a Functions</t>
        </is>
      </c>
      <c r="C4" s="3" t="inlineStr">
        <is>
          <t xml:space="preserve">OK</t>
        </is>
      </c>
    </row>
    <row r="5">
      <c r="B5" s="1" t="inlineStr">
        <is>
          <t xml:space="preserve"># sheet of one formula a function and a rule, each a legacy formula, the edges Excel's documentation is silent on</t>
        </is>
      </c>
      <c r="C5" s="3" t="inlineStr">
        <is>
          <t xml:space="preserve">OK</t>
        </is>
      </c>
    </row>
    <row r="6">
      <c r="B6" s="1" t="inlineStr">
        <is>
          <t xml:space="preserve"># among them, arithmetic over the texts a locale reads, from row 298 the edges Excel's first save left the fold to</t>
        </is>
      </c>
      <c r="C6" s="3" t="inlineStr">
        <is>
          <t xml:space="preserve">OK</t>
        </is>
      </c>
    </row>
    <row r="7">
      <c r="B7" s="1" t="inlineStr">
        <is>
          <t xml:space="preserve"># choose, which its second witnessed, from row 349 those its second left, for its third, and from row 360 the third's</t>
        </is>
      </c>
      <c r="C7" s="3" t="inlineStr">
        <is>
          <t xml:space="preserve">OK</t>
        </is>
      </c>
    </row>
    <row r="8">
      <c r="B8" s="1" t="inlineStr">
        <is>
          <t xml:space="preserve"># reading of DATEDIF's "YD", for its fourth; and a Calendar sheet of every year from 1900 to 2101, a row each: its</t>
        </is>
      </c>
      <c r="C8" s="3" t="inlineStr">
        <is>
          <t xml:space="preserve">OK</t>
        </is>
      </c>
    </row>
    <row r="9">
      <c r="B9" s="1" t="inlineStr">
        <is>
          <t xml:space="preserve"># first day's serial, February's length, the first day's weekday and ISO week, the year before's last day's year,</t>
        </is>
      </c>
      <c r="C9" s="3" t="inlineStr">
        <is>
          <t xml:space="preserve">OK</t>
        </is>
      </c>
    </row>
    <row r="10">
      <c r="B10" s="1" t="inlineStr">
        <is>
          <t xml:space="preserve"># month and day, and the last day's ISO week, from which, with the months' fixed lengths, every day's YEAR, MONTH, DAY</t>
        </is>
      </c>
      <c r="C10" s="3" t="inlineStr">
        <is>
          <t xml:space="preserve">OK</t>
        </is>
      </c>
    </row>
    <row r="11">
      <c r="B11" s="1" t="inlineStr">
        <is>
          <t xml:space="preserve"># and WEEKDAY follow. Built by frazaro into dates.xlsx (each value it computes held); the owner's save of it is</t>
        </is>
      </c>
      <c r="C11" s="3" t="inlineStr">
        <is>
          <t xml:space="preserve">OK</t>
        </is>
      </c>
    </row>
    <row r="12">
      <c r="B12" s="1" t="inlineStr">
        <is>
          <t xml:space="preserve"># dates_saved.xlsx.</t>
        </is>
      </c>
      <c r="C12" s="3" t="inlineStr">
        <is>
          <t xml:space="preserve">OK</t>
        </is>
      </c>
    </row>
    <row r="14">
      <c r="B14" s="1" t="inlineStr">
        <is>
          <t xml:space="preserve">Work on sheet Data.</t>
        </is>
      </c>
      <c r="C14" s="3" t="inlineStr">
        <is>
          <t xml:space="preserve">OK</t>
        </is>
      </c>
    </row>
    <row r="15">
      <c r="B15" s="1" t="inlineStr">
        <is>
          <t xml:space="preserve">Put 46023 into cell A1.</t>
        </is>
      </c>
      <c r="C15" s="3" t="inlineStr">
        <is>
          <t xml:space="preserve">OK</t>
        </is>
      </c>
    </row>
    <row r="16">
      <c r="B16" s="1" t="inlineStr">
        <is>
          <t xml:space="preserve">Put 45351 into cell A2.</t>
        </is>
      </c>
      <c r="C16" s="3" t="inlineStr">
        <is>
          <t xml:space="preserve">OK</t>
        </is>
      </c>
    </row>
    <row r="17">
      <c r="B17" s="1" t="inlineStr">
        <is>
          <t xml:space="preserve">Put 60 into cell A3.</t>
        </is>
      </c>
      <c r="C17" s="3" t="inlineStr">
        <is>
          <t xml:space="preserve">OK</t>
        </is>
      </c>
    </row>
    <row r="18">
      <c r="B18" s="1" t="inlineStr">
        <is>
          <t xml:space="preserve">Put 0 into cell A4.</t>
        </is>
      </c>
      <c r="C18" s="3" t="inlineStr">
        <is>
          <t xml:space="preserve">OK</t>
        </is>
      </c>
    </row>
    <row r="19">
      <c r="B19" s="1" t="inlineStr">
        <is>
          <t xml:space="preserve">Put 46023.75 into cell A5.</t>
        </is>
      </c>
      <c r="C19" s="3" t="inlineStr">
        <is>
          <t xml:space="preserve">OK</t>
        </is>
      </c>
    </row>
    <row r="20">
      <c r="B20" s="1" t="inlineStr">
        <is>
          <t xml:space="preserve">Put 2958465 into cell A11.</t>
        </is>
      </c>
      <c r="C20" s="3" t="inlineStr">
        <is>
          <t xml:space="preserve">OK</t>
        </is>
      </c>
    </row>
    <row r="21">
      <c r="B21" s="1" t="inlineStr">
        <is>
          <t xml:space="preserve">Put 45658.999999 into cell A12.</t>
        </is>
      </c>
      <c r="C21" s="3" t="inlineStr">
        <is>
          <t xml:space="preserve">OK</t>
        </is>
      </c>
    </row>
    <row r="22">
      <c r="B22" s="1" t="inlineStr">
        <is>
          <t xml:space="preserve">Put 46027 into cell B1.</t>
        </is>
      </c>
      <c r="C22" s="3" t="inlineStr">
        <is>
          <t xml:space="preserve">OK</t>
        </is>
      </c>
    </row>
    <row r="23">
      <c r="B23" s="1" t="inlineStr">
        <is>
          <t xml:space="preserve">Put 46028 into cell B2.</t>
        </is>
      </c>
      <c r="C23" s="3" t="inlineStr">
        <is>
          <t xml:space="preserve">OK</t>
        </is>
      </c>
    </row>
    <row r="24">
      <c r="B24" s="1" t="inlineStr">
        <is>
          <t xml:space="preserve">Put 46027 into cell B3.</t>
        </is>
      </c>
      <c r="C24" s="3" t="inlineStr">
        <is>
          <t xml:space="preserve">OK</t>
        </is>
      </c>
    </row>
    <row r="25">
      <c r="B25" s="1" t="inlineStr">
        <is>
          <t xml:space="preserve">Put 46032 into cell B4.</t>
        </is>
      </c>
      <c r="C25" s="3" t="inlineStr">
        <is>
          <t xml:space="preserve">OK</t>
        </is>
      </c>
    </row>
    <row r="26">
      <c r="B26" s="1" t="inlineStr">
        <is>
          <t xml:space="preserve">Put 46100 into cell B6.</t>
        </is>
      </c>
      <c r="C26" s="3" t="inlineStr">
        <is>
          <t xml:space="preserve">OK</t>
        </is>
      </c>
    </row>
    <row r="27">
      <c r="B27" s="1" t="inlineStr">
        <is>
          <t xml:space="preserve">Put 46027 into cell C1.</t>
        </is>
      </c>
      <c r="C27" s="3" t="inlineStr">
        <is>
          <t xml:space="preserve">OK</t>
        </is>
      </c>
    </row>
    <row r="28">
      <c r="B28" s="1" t="inlineStr">
        <is>
          <t xml:space="preserve">Put 46027 into cell D1.</t>
        </is>
      </c>
      <c r="C28" s="3" t="inlineStr">
        <is>
          <t xml:space="preserve">OK</t>
        </is>
      </c>
    </row>
    <row r="29">
      <c r="B29" s="1" t="inlineStr">
        <is>
          <t xml:space="preserve">Put 46027 into cell E1.</t>
        </is>
      </c>
      <c r="C29" s="3" t="inlineStr">
        <is>
          <t xml:space="preserve">OK</t>
        </is>
      </c>
    </row>
    <row r="30">
      <c r="B30" s="1" t="inlineStr">
        <is>
          <t xml:space="preserve">Put "1/1/2026" into cell A7.</t>
        </is>
      </c>
      <c r="C30" s="3" t="inlineStr">
        <is>
          <t xml:space="preserve">OK</t>
        </is>
      </c>
    </row>
    <row r="31">
      <c r="B31" s="1" t="inlineStr">
        <is>
          <t xml:space="preserve">Put "abc" into cell A8.</t>
        </is>
      </c>
      <c r="C31" s="3" t="inlineStr">
        <is>
          <t xml:space="preserve">OK</t>
        </is>
      </c>
    </row>
    <row r="32">
      <c r="B32" s="1" t="inlineStr">
        <is>
          <t xml:space="preserve">Put "46023" into cell A10.</t>
        </is>
      </c>
      <c r="C32" s="3" t="inlineStr">
        <is>
          <t xml:space="preserve">OK</t>
        </is>
      </c>
    </row>
    <row r="33">
      <c r="B33" s="1" t="inlineStr">
        <is>
          <t xml:space="preserve">Put "46028" into cell C2.</t>
        </is>
      </c>
      <c r="C33" s="3" t="inlineStr">
        <is>
          <t xml:space="preserve">OK</t>
        </is>
      </c>
    </row>
    <row r="34">
      <c r="B34" s="1" t="inlineStr">
        <is>
          <t xml:space="preserve">Put "1/6/2026" into cell E2.</t>
        </is>
      </c>
      <c r="C34" s="3" t="inlineStr">
        <is>
          <t xml:space="preserve">OK</t>
        </is>
      </c>
    </row>
    <row r="35">
      <c r="B35" s="1" t="inlineStr">
        <is>
          <t xml:space="preserve">Put "1,000" into cell F1.</t>
        </is>
      </c>
      <c r="C35" s="3" t="inlineStr">
        <is>
          <t xml:space="preserve">OK</t>
        </is>
      </c>
    </row>
    <row r="36">
      <c r="B36" s="1" t="inlineStr">
        <is>
          <t xml:space="preserve">Put "$5" into cell F2.</t>
        </is>
      </c>
      <c r="C36" s="3" t="inlineStr">
        <is>
          <t xml:space="preserve">OK</t>
        </is>
      </c>
    </row>
    <row r="37">
      <c r="B37" s="1" t="inlineStr">
        <is>
          <t xml:space="preserve">Put "12abc" into cell F3.</t>
        </is>
      </c>
      <c r="C37" s="3" t="inlineStr">
        <is>
          <t xml:space="preserve">OK</t>
        </is>
      </c>
    </row>
    <row r="38">
      <c r="B38" s="1" t="inlineStr">
        <is>
          <t xml:space="preserve">Put "5" into cell F4.</t>
        </is>
      </c>
      <c r="C38" s="3" t="inlineStr">
        <is>
          <t xml:space="preserve">OK</t>
        </is>
      </c>
    </row>
    <row r="39">
      <c r="B39" s="1" t="inlineStr">
        <is>
          <t xml:space="preserve">Put formula "=TRUE" into cell A6.</t>
        </is>
      </c>
      <c r="C39" s="3" t="inlineStr">
        <is>
          <t xml:space="preserve">OK</t>
        </is>
      </c>
    </row>
    <row r="40">
      <c r="B40" s="1" t="inlineStr">
        <is>
          <t xml:space="preserve">Put formula "=1/0" into cell A9.</t>
        </is>
      </c>
      <c r="C40" s="3" t="inlineStr">
        <is>
          <t xml:space="preserve">OK</t>
        </is>
      </c>
    </row>
    <row r="41">
      <c r="B41" s="1" t="inlineStr">
        <is>
          <t xml:space="preserve">Put formula "=TRUE" into cell D2.</t>
        </is>
      </c>
      <c r="C41" s="3" t="inlineStr">
        <is>
          <t xml:space="preserve">OK</t>
        </is>
      </c>
    </row>
    <row r="43">
      <c r="B43" s="1" t="inlineStr">
        <is>
          <t xml:space="preserve">Work on sheet Functions.</t>
        </is>
      </c>
      <c r="C43" s="3" t="inlineStr">
        <is>
          <t xml:space="preserve">OK</t>
        </is>
      </c>
    </row>
    <row r="44">
      <c r="B44" s="1" t="inlineStr">
        <is>
          <t xml:space="preserve">Put formula "=DATE(2026,1,1)" into cell A1.</t>
        </is>
      </c>
      <c r="C44" s="3" t="inlineStr">
        <is>
          <t xml:space="preserve">OK</t>
        </is>
      </c>
    </row>
    <row r="45">
      <c r="B45" s="1" t="inlineStr">
        <is>
          <t xml:space="preserve">Put formula "=DATE(1900,1,1)" into cell A2.</t>
        </is>
      </c>
      <c r="C45" s="3" t="inlineStr">
        <is>
          <t xml:space="preserve">OK</t>
        </is>
      </c>
    </row>
    <row r="46">
      <c r="B46" s="1" t="inlineStr">
        <is>
          <t xml:space="preserve">Put formula "=DATE(1900,1,0)" into cell A3.</t>
        </is>
      </c>
      <c r="C46" s="3" t="inlineStr">
        <is>
          <t xml:space="preserve">OK</t>
        </is>
      </c>
    </row>
    <row r="47">
      <c r="B47" s="1" t="inlineStr">
        <is>
          <t xml:space="preserve">Put formula "=DATE(1900,2,28)" into cell A4.</t>
        </is>
      </c>
      <c r="C47" s="3" t="inlineStr">
        <is>
          <t xml:space="preserve">OK</t>
        </is>
      </c>
    </row>
    <row r="48">
      <c r="B48" s="1" t="inlineStr">
        <is>
          <t xml:space="preserve">Put formula "=DATE(1900,2,29)" into cell A5.</t>
        </is>
      </c>
      <c r="C48" s="3" t="inlineStr">
        <is>
          <t xml:space="preserve">OK</t>
        </is>
      </c>
    </row>
    <row r="49">
      <c r="B49" s="1" t="inlineStr">
        <is>
          <t xml:space="preserve">Put formula "=DATE(1900,2,30)" into cell A6.</t>
        </is>
      </c>
      <c r="C49" s="3" t="inlineStr">
        <is>
          <t xml:space="preserve">OK</t>
        </is>
      </c>
    </row>
    <row r="50">
      <c r="B50" s="1" t="inlineStr">
        <is>
          <t xml:space="preserve">Put formula "=DATE(1900,3,0)" into cell A7.</t>
        </is>
      </c>
      <c r="C50" s="3" t="inlineStr">
        <is>
          <t xml:space="preserve">OK</t>
        </is>
      </c>
    </row>
    <row r="51">
      <c r="B51" s="1" t="inlineStr">
        <is>
          <t xml:space="preserve">Put formula "=DATE(1900,3,1)" into cell A8.</t>
        </is>
      </c>
      <c r="C51" s="3" t="inlineStr">
        <is>
          <t xml:space="preserve">OK</t>
        </is>
      </c>
    </row>
    <row r="52">
      <c r="B52" s="1" t="inlineStr">
        <is>
          <t xml:space="preserve">Put formula "=DATE(1900,0,31)" into cell A9.</t>
        </is>
      </c>
      <c r="C52" s="3" t="inlineStr">
        <is>
          <t xml:space="preserve">OK</t>
        </is>
      </c>
    </row>
    <row r="53">
      <c r="B53" s="1" t="inlineStr">
        <is>
          <t xml:space="preserve">Put formula "=DATE(1900,1,-1)" into cell A10.</t>
        </is>
      </c>
      <c r="C53" s="3" t="inlineStr">
        <is>
          <t xml:space="preserve">OK</t>
        </is>
      </c>
    </row>
    <row r="54">
      <c r="B54" s="1" t="inlineStr">
        <is>
          <t xml:space="preserve">Put formula "=DATE(108,1,2)" into cell A11.</t>
        </is>
      </c>
      <c r="C54" s="3" t="inlineStr">
        <is>
          <t xml:space="preserve">OK</t>
        </is>
      </c>
    </row>
    <row r="55">
      <c r="B55" s="1" t="inlineStr">
        <is>
          <t xml:space="preserve">Put formula "=DATE(1,1,1)" into cell A12.</t>
        </is>
      </c>
      <c r="C55" s="3" t="inlineStr">
        <is>
          <t xml:space="preserve">OK</t>
        </is>
      </c>
    </row>
    <row r="56">
      <c r="B56" s="1" t="inlineStr">
        <is>
          <t xml:space="preserve">Put formula "=DATE(1899,12,31)" into cell A13.</t>
        </is>
      </c>
      <c r="C56" s="3" t="inlineStr">
        <is>
          <t xml:space="preserve">OK</t>
        </is>
      </c>
    </row>
    <row r="57">
      <c r="B57" s="1" t="inlineStr">
        <is>
          <t xml:space="preserve">Put formula "=DATE(2008,14,2)" into cell A14.</t>
        </is>
      </c>
      <c r="C57" s="3" t="inlineStr">
        <is>
          <t xml:space="preserve">OK</t>
        </is>
      </c>
    </row>
    <row r="58">
      <c r="B58" s="1" t="inlineStr">
        <is>
          <t xml:space="preserve">Put formula "=DATE(2008,-3,2)" into cell A15.</t>
        </is>
      </c>
      <c r="C58" s="3" t="inlineStr">
        <is>
          <t xml:space="preserve">OK</t>
        </is>
      </c>
    </row>
    <row r="59">
      <c r="B59" s="1" t="inlineStr">
        <is>
          <t xml:space="preserve">Put formula "=DATE(2008,1,35)" into cell A16.</t>
        </is>
      </c>
      <c r="C59" s="3" t="inlineStr">
        <is>
          <t xml:space="preserve">OK</t>
        </is>
      </c>
    </row>
    <row r="60">
      <c r="B60" s="1" t="inlineStr">
        <is>
          <t xml:space="preserve">Put formula "=DATE(2008,1,-15)" into cell A17.</t>
        </is>
      </c>
      <c r="C60" s="3" t="inlineStr">
        <is>
          <t xml:space="preserve">OK</t>
        </is>
      </c>
    </row>
    <row r="61">
      <c r="B61" s="1" t="inlineStr">
        <is>
          <t xml:space="preserve">Put formula "=DATE(-1,1,1)" into cell A18.</t>
        </is>
      </c>
      <c r="C61" s="3" t="inlineStr">
        <is>
          <t xml:space="preserve">OK</t>
        </is>
      </c>
    </row>
    <row r="62">
      <c r="B62" s="1" t="inlineStr">
        <is>
          <t xml:space="preserve">Put formula "=DATE(10000,1,1)" into cell A19.</t>
        </is>
      </c>
      <c r="C62" s="3" t="inlineStr">
        <is>
          <t xml:space="preserve">OK</t>
        </is>
      </c>
    </row>
    <row r="63">
      <c r="B63" s="1" t="inlineStr">
        <is>
          <t xml:space="preserve">Put formula "=DATE(10000,-11,1)" into cell A20.</t>
        </is>
      </c>
      <c r="C63" s="3" t="inlineStr">
        <is>
          <t xml:space="preserve">OK</t>
        </is>
      </c>
    </row>
    <row r="64">
      <c r="B64" s="1" t="inlineStr">
        <is>
          <t xml:space="preserve">Put formula "=DATE(9999,12,31)" into cell A21.</t>
        </is>
      </c>
      <c r="C64" s="3" t="inlineStr">
        <is>
          <t xml:space="preserve">OK</t>
        </is>
      </c>
    </row>
    <row r="65">
      <c r="B65" s="1" t="inlineStr">
        <is>
          <t xml:space="preserve">Put formula "=DATE(9999,12,32)" into cell A22.</t>
        </is>
      </c>
      <c r="C65" s="3" t="inlineStr">
        <is>
          <t xml:space="preserve">OK</t>
        </is>
      </c>
    </row>
    <row r="66">
      <c r="B66" s="1" t="inlineStr">
        <is>
          <t xml:space="preserve">Put formula "=DATE(9999,13,-31)" into cell A23.</t>
        </is>
      </c>
      <c r="C66" s="3" t="inlineStr">
        <is>
          <t xml:space="preserve">OK</t>
        </is>
      </c>
    </row>
    <row r="67">
      <c r="B67" s="1" t="inlineStr">
        <is>
          <t xml:space="preserve">Put formula "=DATE(2026.9,1.9,1.9)" into cell A24.</t>
        </is>
      </c>
      <c r="C67" s="3" t="inlineStr">
        <is>
          <t xml:space="preserve">OK</t>
        </is>
      </c>
    </row>
    <row r="68">
      <c r="B68" s="1" t="inlineStr">
        <is>
          <t xml:space="preserve">Put formula "=DATE(2026,1,-0.5)" into cell A25.</t>
        </is>
      </c>
      <c r="C68" s="3" t="inlineStr">
        <is>
          <t xml:space="preserve">OK</t>
        </is>
      </c>
    </row>
    <row r="69">
      <c r="B69" s="1" t="inlineStr">
        <is>
          <t xml:space="preserve">Put formula "=DATE(2026,-0.5,1)" into cell A26.</t>
        </is>
      </c>
      <c r="C69" s="3" t="inlineStr">
        <is>
          <t xml:space="preserve">OK</t>
        </is>
      </c>
    </row>
    <row r="70">
      <c r="B70" s="1" t="inlineStr">
        <is>
          <t xml:space="preserve">Put formula "=DATE(-0.5,1,1)" into cell A27.</t>
        </is>
      </c>
      <c r="C70" s="3" t="inlineStr">
        <is>
          <t xml:space="preserve">OK</t>
        </is>
      </c>
    </row>
    <row r="71">
      <c r="B71" s="1" t="inlineStr">
        <is>
          <t xml:space="preserve">Put formula "=DATE(1899.9,1,1)" into cell A28.</t>
        </is>
      </c>
      <c r="C71" s="3" t="inlineStr">
        <is>
          <t xml:space="preserve">OK</t>
        </is>
      </c>
    </row>
    <row r="72">
      <c r="B72" s="1" t="inlineStr">
        <is>
          <t xml:space="preserve">Put formula "=DATE(""2026"",1,1)" into cell A29.</t>
        </is>
      </c>
      <c r="C72" s="3" t="inlineStr">
        <is>
          <t xml:space="preserve">OK</t>
        </is>
      </c>
    </row>
    <row r="73">
      <c r="B73" s="1" t="inlineStr">
        <is>
          <t xml:space="preserve">Put formula "=DATE(TRUE,1,1)" into cell A30.</t>
        </is>
      </c>
      <c r="C73" s="3" t="inlineStr">
        <is>
          <t xml:space="preserve">OK</t>
        </is>
      </c>
    </row>
    <row r="74">
      <c r="B74" s="1" t="inlineStr">
        <is>
          <t xml:space="preserve">Put formula "=DATE(Data!A9,1,1)" into cell A31.</t>
        </is>
      </c>
      <c r="C74" s="3" t="inlineStr">
        <is>
          <t xml:space="preserve">OK</t>
        </is>
      </c>
    </row>
    <row r="75">
      <c r="B75" s="1" t="inlineStr">
        <is>
          <t xml:space="preserve">Put formula "=DATE(2026,1,Data!F1)" into cell A32.</t>
        </is>
      </c>
      <c r="C75" s="3" t="inlineStr">
        <is>
          <t xml:space="preserve">OK</t>
        </is>
      </c>
    </row>
    <row r="76">
      <c r="B76" s="1" t="inlineStr">
        <is>
          <t xml:space="preserve">Put formula "=YEAR(Data!A1)" into cell A33.</t>
        </is>
      </c>
      <c r="C76" s="3" t="inlineStr">
        <is>
          <t xml:space="preserve">OK</t>
        </is>
      </c>
    </row>
    <row r="77">
      <c r="B77" s="1" t="inlineStr">
        <is>
          <t xml:space="preserve">Put formula "=MONTH(Data!A1)" into cell A34.</t>
        </is>
      </c>
      <c r="C77" s="3" t="inlineStr">
        <is>
          <t xml:space="preserve">OK</t>
        </is>
      </c>
    </row>
    <row r="78">
      <c r="B78" s="1" t="inlineStr">
        <is>
          <t xml:space="preserve">Put formula "=DAY(Data!A1)" into cell A35.</t>
        </is>
      </c>
      <c r="C78" s="3" t="inlineStr">
        <is>
          <t xml:space="preserve">OK</t>
        </is>
      </c>
    </row>
    <row r="79">
      <c r="B79" s="1" t="inlineStr">
        <is>
          <t xml:space="preserve">Put formula "=YEAR(Data!A2)" into cell A36.</t>
        </is>
      </c>
      <c r="C79" s="3" t="inlineStr">
        <is>
          <t xml:space="preserve">OK</t>
        </is>
      </c>
    </row>
    <row r="80">
      <c r="B80" s="1" t="inlineStr">
        <is>
          <t xml:space="preserve">Put formula "=MONTH(Data!A2)" into cell A37.</t>
        </is>
      </c>
      <c r="C80" s="3" t="inlineStr">
        <is>
          <t xml:space="preserve">OK</t>
        </is>
      </c>
    </row>
    <row r="81">
      <c r="B81" s="1" t="inlineStr">
        <is>
          <t xml:space="preserve">Put formula "=DAY(Data!A2)" into cell A38.</t>
        </is>
      </c>
      <c r="C81" s="3" t="inlineStr">
        <is>
          <t xml:space="preserve">OK</t>
        </is>
      </c>
    </row>
    <row r="82">
      <c r="B82" s="1" t="inlineStr">
        <is>
          <t xml:space="preserve">Put formula "=YEAR(Data!A3)" into cell A39.</t>
        </is>
      </c>
      <c r="C82" s="3" t="inlineStr">
        <is>
          <t xml:space="preserve">OK</t>
        </is>
      </c>
    </row>
    <row r="83">
      <c r="B83" s="1" t="inlineStr">
        <is>
          <t xml:space="preserve">Put formula "=MONTH(Data!A3)" into cell A40.</t>
        </is>
      </c>
      <c r="C83" s="3" t="inlineStr">
        <is>
          <t xml:space="preserve">OK</t>
        </is>
      </c>
    </row>
    <row r="84">
      <c r="B84" s="1" t="inlineStr">
        <is>
          <t xml:space="preserve">Put formula "=DAY(Data!A3)" into cell A41.</t>
        </is>
      </c>
      <c r="C84" s="3" t="inlineStr">
        <is>
          <t xml:space="preserve">OK</t>
        </is>
      </c>
    </row>
    <row r="85">
      <c r="B85" s="1" t="inlineStr">
        <is>
          <t xml:space="preserve">Put formula "=YEAR(Data!A4)" into cell A42.</t>
        </is>
      </c>
      <c r="C85" s="3" t="inlineStr">
        <is>
          <t xml:space="preserve">OK</t>
        </is>
      </c>
    </row>
    <row r="86">
      <c r="B86" s="1" t="inlineStr">
        <is>
          <t xml:space="preserve">Put formula "=MONTH(Data!A4)" into cell A43.</t>
        </is>
      </c>
      <c r="C86" s="3" t="inlineStr">
        <is>
          <t xml:space="preserve">OK</t>
        </is>
      </c>
    </row>
    <row r="87">
      <c r="B87" s="1" t="inlineStr">
        <is>
          <t xml:space="preserve">Put formula "=DAY(Data!A4)" into cell A44.</t>
        </is>
      </c>
      <c r="C87" s="3" t="inlineStr">
        <is>
          <t xml:space="preserve">OK</t>
        </is>
      </c>
    </row>
    <row r="88">
      <c r="B88" s="1" t="inlineStr">
        <is>
          <t xml:space="preserve">Put formula "=DAY(59)" into cell A45.</t>
        </is>
      </c>
      <c r="C88" s="3" t="inlineStr">
        <is>
          <t xml:space="preserve">OK</t>
        </is>
      </c>
    </row>
    <row r="89">
      <c r="B89" s="1" t="inlineStr">
        <is>
          <t xml:space="preserve">Put formula "=DAY(61)" into cell A46.</t>
        </is>
      </c>
      <c r="C89" s="3" t="inlineStr">
        <is>
          <t xml:space="preserve">OK</t>
        </is>
      </c>
    </row>
    <row r="90">
      <c r="B90" s="1" t="inlineStr">
        <is>
          <t xml:space="preserve">Put formula "=DAY(Data!A5)" into cell A47.</t>
        </is>
      </c>
      <c r="C90" s="3" t="inlineStr">
        <is>
          <t xml:space="preserve">OK</t>
        </is>
      </c>
    </row>
    <row r="91">
      <c r="B91" s="1" t="inlineStr">
        <is>
          <t xml:space="preserve">Put formula "=YEAR(Data!A6)" into cell A48.</t>
        </is>
      </c>
      <c r="C91" s="3" t="inlineStr">
        <is>
          <t xml:space="preserve">OK</t>
        </is>
      </c>
    </row>
    <row r="92">
      <c r="B92" s="1" t="inlineStr">
        <is>
          <t xml:space="preserve">Put formula "=YEAR(Data!A7)" into cell A49.</t>
        </is>
      </c>
      <c r="C92" s="3" t="inlineStr">
        <is>
          <t xml:space="preserve">OK</t>
        </is>
      </c>
    </row>
    <row r="93">
      <c r="B93" s="1" t="inlineStr">
        <is>
          <t xml:space="preserve">Put formula "=YEAR(Data!A8)" into cell A50.</t>
        </is>
      </c>
      <c r="C93" s="3" t="inlineStr">
        <is>
          <t xml:space="preserve">OK</t>
        </is>
      </c>
    </row>
    <row r="94">
      <c r="B94" s="1" t="inlineStr">
        <is>
          <t xml:space="preserve">Put formula "=YEAR(Data!A9)" into cell A51.</t>
        </is>
      </c>
      <c r="C94" s="3" t="inlineStr">
        <is>
          <t xml:space="preserve">OK</t>
        </is>
      </c>
    </row>
    <row r="95">
      <c r="B95" s="1" t="inlineStr">
        <is>
          <t xml:space="preserve">Put formula "=YEAR(Data!A10)" into cell A52.</t>
        </is>
      </c>
      <c r="C95" s="3" t="inlineStr">
        <is>
          <t xml:space="preserve">OK</t>
        </is>
      </c>
    </row>
    <row r="96">
      <c r="B96" s="1" t="inlineStr">
        <is>
          <t xml:space="preserve">Put formula "=YEAR(Data!A11)" into cell A53.</t>
        </is>
      </c>
      <c r="C96" s="3" t="inlineStr">
        <is>
          <t xml:space="preserve">OK</t>
        </is>
      </c>
    </row>
    <row r="97">
      <c r="B97" s="1" t="inlineStr">
        <is>
          <t xml:space="preserve">Put formula "=MONTH(Data!A11)" into cell A54.</t>
        </is>
      </c>
      <c r="C97" s="3" t="inlineStr">
        <is>
          <t xml:space="preserve">OK</t>
        </is>
      </c>
    </row>
    <row r="98">
      <c r="B98" s="1" t="inlineStr">
        <is>
          <t xml:space="preserve">Put formula "=DAY(Data!A11)" into cell A55.</t>
        </is>
      </c>
      <c r="C98" s="3" t="inlineStr">
        <is>
          <t xml:space="preserve">OK</t>
        </is>
      </c>
    </row>
    <row r="99">
      <c r="B99" s="1" t="inlineStr">
        <is>
          <t xml:space="preserve">Put formula "=YEAR(2958465.9999999)" into cell A56.</t>
        </is>
      </c>
      <c r="C99" s="3" t="inlineStr">
        <is>
          <t xml:space="preserve">OK</t>
        </is>
      </c>
    </row>
    <row r="100">
      <c r="B100" s="1" t="inlineStr">
        <is>
          <t xml:space="preserve">Put formula "=YEAR(2958466)" into cell A57.</t>
        </is>
      </c>
      <c r="C100" s="3" t="inlineStr">
        <is>
          <t xml:space="preserve">OK</t>
        </is>
      </c>
    </row>
    <row r="101">
      <c r="B101" s="1" t="inlineStr">
        <is>
          <t xml:space="preserve">Put formula "=YEAR(-1)" into cell A58.</t>
        </is>
      </c>
      <c r="C101" s="3" t="inlineStr">
        <is>
          <t xml:space="preserve">OK</t>
        </is>
      </c>
    </row>
    <row r="102">
      <c r="B102" s="1" t="inlineStr">
        <is>
          <t xml:space="preserve">Put formula "=YEAR(-0.5)" into cell A59.</t>
        </is>
      </c>
      <c r="C102" s="3" t="inlineStr">
        <is>
          <t xml:space="preserve">OK</t>
        </is>
      </c>
    </row>
    <row r="103">
      <c r="B103" s="1" t="inlineStr">
        <is>
          <t xml:space="preserve">Put formula "=DAY(Data!A12)" into cell A60.</t>
        </is>
      </c>
      <c r="C103" s="3" t="inlineStr">
        <is>
          <t xml:space="preserve">OK</t>
        </is>
      </c>
    </row>
    <row r="104">
      <c r="B104" s="1" t="inlineStr">
        <is>
          <t xml:space="preserve">Put formula "=DAY(45658.99999999)" into cell A61.</t>
        </is>
      </c>
      <c r="C104" s="3" t="inlineStr">
        <is>
          <t xml:space="preserve">OK</t>
        </is>
      </c>
    </row>
    <row r="105">
      <c r="B105" s="1" t="inlineStr">
        <is>
          <t xml:space="preserve">Put formula "=DAY(45658.9999999999)" into cell A62.</t>
        </is>
      </c>
      <c r="C105" s="3" t="inlineStr">
        <is>
          <t xml:space="preserve">OK</t>
        </is>
      </c>
    </row>
    <row r="106">
      <c r="B106" s="1" t="inlineStr">
        <is>
          <t xml:space="preserve">Put formula "=YEAR("""")" into cell A63.</t>
        </is>
      </c>
      <c r="C106" s="3" t="inlineStr">
        <is>
          <t xml:space="preserve">OK</t>
        </is>
      </c>
    </row>
    <row r="107">
      <c r="B107" s="1" t="inlineStr">
        <is>
          <t xml:space="preserve">Put formula "=MONTH(45658.5)" into cell A64.</t>
        </is>
      </c>
      <c r="C107" s="3" t="inlineStr">
        <is>
          <t xml:space="preserve">OK</t>
        </is>
      </c>
    </row>
    <row r="108">
      <c r="B108" s="1" t="inlineStr">
        <is>
          <t xml:space="preserve">Put formula "=DAY(Data!B5)" into cell A65.</t>
        </is>
      </c>
      <c r="C108" s="3" t="inlineStr">
        <is>
          <t xml:space="preserve">OK</t>
        </is>
      </c>
    </row>
    <row r="109">
      <c r="B109" s="1" t="inlineStr">
        <is>
          <t xml:space="preserve">Put formula "=WEEKDAY(Data!A1)" into cell A66.</t>
        </is>
      </c>
      <c r="C109" s="3" t="inlineStr">
        <is>
          <t xml:space="preserve">OK</t>
        </is>
      </c>
    </row>
    <row r="110">
      <c r="B110" s="1" t="inlineStr">
        <is>
          <t xml:space="preserve">Put formula "=WEEKDAY(Data!A1,1)" into cell A67.</t>
        </is>
      </c>
      <c r="C110" s="3" t="inlineStr">
        <is>
          <t xml:space="preserve">OK</t>
        </is>
      </c>
    </row>
    <row r="111">
      <c r="B111" s="1" t="inlineStr">
        <is>
          <t xml:space="preserve">Put formula "=WEEKDAY(Data!A1,2)" into cell A68.</t>
        </is>
      </c>
      <c r="C111" s="3" t="inlineStr">
        <is>
          <t xml:space="preserve">OK</t>
        </is>
      </c>
    </row>
    <row r="112">
      <c r="B112" s="1" t="inlineStr">
        <is>
          <t xml:space="preserve">Put formula "=WEEKDAY(Data!A1,3)" into cell A69.</t>
        </is>
      </c>
      <c r="C112" s="3" t="inlineStr">
        <is>
          <t xml:space="preserve">OK</t>
        </is>
      </c>
    </row>
    <row r="113">
      <c r="B113" s="1" t="inlineStr">
        <is>
          <t xml:space="preserve">Put formula "=WEEKDAY(Data!A1,11)" into cell A70.</t>
        </is>
      </c>
      <c r="C113" s="3" t="inlineStr">
        <is>
          <t xml:space="preserve">OK</t>
        </is>
      </c>
    </row>
    <row r="114">
      <c r="B114" s="1" t="inlineStr">
        <is>
          <t xml:space="preserve">Put formula "=WEEKDAY(Data!A1,12)" into cell A71.</t>
        </is>
      </c>
      <c r="C114" s="3" t="inlineStr">
        <is>
          <t xml:space="preserve">OK</t>
        </is>
      </c>
    </row>
    <row r="115">
      <c r="B115" s="1" t="inlineStr">
        <is>
          <t xml:space="preserve">Put formula "=WEEKDAY(Data!A1,13)" into cell A72.</t>
        </is>
      </c>
      <c r="C115" s="3" t="inlineStr">
        <is>
          <t xml:space="preserve">OK</t>
        </is>
      </c>
    </row>
    <row r="116">
      <c r="B116" s="1" t="inlineStr">
        <is>
          <t xml:space="preserve">Put formula "=WEEKDAY(Data!A1,14)" into cell A73.</t>
        </is>
      </c>
      <c r="C116" s="3" t="inlineStr">
        <is>
          <t xml:space="preserve">OK</t>
        </is>
      </c>
    </row>
    <row r="117">
      <c r="B117" s="1" t="inlineStr">
        <is>
          <t xml:space="preserve">Put formula "=WEEKDAY(Data!A1,15)" into cell A74.</t>
        </is>
      </c>
      <c r="C117" s="3" t="inlineStr">
        <is>
          <t xml:space="preserve">OK</t>
        </is>
      </c>
    </row>
    <row r="118">
      <c r="B118" s="1" t="inlineStr">
        <is>
          <t xml:space="preserve">Put formula "=WEEKDAY(Data!A1,16)" into cell A75.</t>
        </is>
      </c>
      <c r="C118" s="3" t="inlineStr">
        <is>
          <t xml:space="preserve">OK</t>
        </is>
      </c>
    </row>
    <row r="119">
      <c r="B119" s="1" t="inlineStr">
        <is>
          <t xml:space="preserve">Put formula "=WEEKDAY(Data!A1,17)" into cell A76.</t>
        </is>
      </c>
      <c r="C119" s="3" t="inlineStr">
        <is>
          <t xml:space="preserve">OK</t>
        </is>
      </c>
    </row>
    <row r="120">
      <c r="B120" s="1" t="inlineStr">
        <is>
          <t xml:space="preserve">Put formula "=WEEKDAY(Data!A1,1.9)" into cell A77.</t>
        </is>
      </c>
      <c r="C120" s="3" t="inlineStr">
        <is>
          <t xml:space="preserve">OK</t>
        </is>
      </c>
    </row>
    <row r="121">
      <c r="B121" s="1" t="inlineStr">
        <is>
          <t xml:space="preserve">Put formula "=WEEKDAY(Data!A1,0)" into cell A78.</t>
        </is>
      </c>
      <c r="C121" s="3" t="inlineStr">
        <is>
          <t xml:space="preserve">OK</t>
        </is>
      </c>
    </row>
    <row r="122">
      <c r="B122" s="1" t="inlineStr">
        <is>
          <t xml:space="preserve">Put formula "=WEEKDAY(Data!A1,4)" into cell A79.</t>
        </is>
      </c>
      <c r="C122" s="3" t="inlineStr">
        <is>
          <t xml:space="preserve">OK</t>
        </is>
      </c>
    </row>
    <row r="123">
      <c r="B123" s="1" t="inlineStr">
        <is>
          <t xml:space="preserve">Put formula "=WEEKDAY(Data!A1,18)" into cell A80.</t>
        </is>
      </c>
      <c r="C123" s="3" t="inlineStr">
        <is>
          <t xml:space="preserve">OK</t>
        </is>
      </c>
    </row>
    <row r="124">
      <c r="B124" s="1" t="inlineStr">
        <is>
          <t xml:space="preserve">Put formula "=WEEKDAY(0)" into cell A81.</t>
        </is>
      </c>
      <c r="C124" s="3" t="inlineStr">
        <is>
          <t xml:space="preserve">OK</t>
        </is>
      </c>
    </row>
    <row r="125">
      <c r="B125" s="1" t="inlineStr">
        <is>
          <t xml:space="preserve">Put formula "=WEEKDAY(1)" into cell A82.</t>
        </is>
      </c>
      <c r="C125" s="3" t="inlineStr">
        <is>
          <t xml:space="preserve">OK</t>
        </is>
      </c>
    </row>
    <row r="126">
      <c r="B126" s="1" t="inlineStr">
        <is>
          <t xml:space="preserve">Put formula "=WEEKDAY(59)" into cell A83.</t>
        </is>
      </c>
      <c r="C126" s="3" t="inlineStr">
        <is>
          <t xml:space="preserve">OK</t>
        </is>
      </c>
    </row>
    <row r="127">
      <c r="B127" s="1" t="inlineStr">
        <is>
          <t xml:space="preserve">Put formula "=WEEKDAY(60)" into cell A84.</t>
        </is>
      </c>
      <c r="C127" s="3" t="inlineStr">
        <is>
          <t xml:space="preserve">OK</t>
        </is>
      </c>
    </row>
    <row r="128">
      <c r="B128" s="1" t="inlineStr">
        <is>
          <t xml:space="preserve">Put formula "=WEEKDAY(61)" into cell A85.</t>
        </is>
      </c>
      <c r="C128" s="3" t="inlineStr">
        <is>
          <t xml:space="preserve">OK</t>
        </is>
      </c>
    </row>
    <row r="129">
      <c r="B129" s="1" t="inlineStr">
        <is>
          <t xml:space="preserve">Put formula "=WEEKDAY(0,2)" into cell A86.</t>
        </is>
      </c>
      <c r="C129" s="3" t="inlineStr">
        <is>
          <t xml:space="preserve">OK</t>
        </is>
      </c>
    </row>
    <row r="130">
      <c r="B130" s="1" t="inlineStr">
        <is>
          <t xml:space="preserve">Put formula "=WEEKDAY(0,3)" into cell A87.</t>
        </is>
      </c>
      <c r="C130" s="3" t="inlineStr">
        <is>
          <t xml:space="preserve">OK</t>
        </is>
      </c>
    </row>
    <row r="131">
      <c r="B131" s="1" t="inlineStr">
        <is>
          <t xml:space="preserve">Put formula "=WEEKDAY(-1)" into cell A88.</t>
        </is>
      </c>
      <c r="C131" s="3" t="inlineStr">
        <is>
          <t xml:space="preserve">OK</t>
        </is>
      </c>
    </row>
    <row r="132">
      <c r="B132" s="1" t="inlineStr">
        <is>
          <t xml:space="preserve">Put formula "=WEEKDAY(Data!A7)" into cell A89.</t>
        </is>
      </c>
      <c r="C132" s="3" t="inlineStr">
        <is>
          <t xml:space="preserve">OK</t>
        </is>
      </c>
    </row>
    <row r="133">
      <c r="B133" s="1" t="inlineStr">
        <is>
          <t xml:space="preserve">Put formula "=EOMONTH(Data!A1,0)" into cell A90.</t>
        </is>
      </c>
      <c r="C133" s="3" t="inlineStr">
        <is>
          <t xml:space="preserve">OK</t>
        </is>
      </c>
    </row>
    <row r="134">
      <c r="B134" s="1" t="inlineStr">
        <is>
          <t xml:space="preserve">Put formula "=EOMONTH(Data!A1,1)" into cell A91.</t>
        </is>
      </c>
      <c r="C134" s="3" t="inlineStr">
        <is>
          <t xml:space="preserve">OK</t>
        </is>
      </c>
    </row>
    <row r="135">
      <c r="B135" s="1" t="inlineStr">
        <is>
          <t xml:space="preserve">Put formula "=EOMONTH(Data!A2,-1)" into cell A92.</t>
        </is>
      </c>
      <c r="C135" s="3" t="inlineStr">
        <is>
          <t xml:space="preserve">OK</t>
        </is>
      </c>
    </row>
    <row r="136">
      <c r="B136" s="1" t="inlineStr">
        <is>
          <t xml:space="preserve">Put formula "=EOMONTH(Data!A2,12)" into cell A93.</t>
        </is>
      </c>
      <c r="C136" s="3" t="inlineStr">
        <is>
          <t xml:space="preserve">OK</t>
        </is>
      </c>
    </row>
    <row r="137">
      <c r="B137" s="1" t="inlineStr">
        <is>
          <t xml:space="preserve">Put formula "=EOMONTH(Data!A1,1.9)" into cell A94.</t>
        </is>
      </c>
      <c r="C137" s="3" t="inlineStr">
        <is>
          <t xml:space="preserve">OK</t>
        </is>
      </c>
    </row>
    <row r="138">
      <c r="B138" s="1" t="inlineStr">
        <is>
          <t xml:space="preserve">Put formula "=EOMONTH(Data!A1,-1.9)" into cell A95.</t>
        </is>
      </c>
      <c r="C138" s="3" t="inlineStr">
        <is>
          <t xml:space="preserve">OK</t>
        </is>
      </c>
    </row>
    <row r="139">
      <c r="B139" s="1" t="inlineStr">
        <is>
          <t xml:space="preserve">Put formula "=EOMONTH(DATE(1900,1,15),1)" into cell A96.</t>
        </is>
      </c>
      <c r="C139" s="3" t="inlineStr">
        <is>
          <t xml:space="preserve">OK</t>
        </is>
      </c>
    </row>
    <row r="140">
      <c r="B140" s="1" t="inlineStr">
        <is>
          <t xml:space="preserve">Put formula "=EOMONTH(1,-1)" into cell A97.</t>
        </is>
      </c>
      <c r="C140" s="3" t="inlineStr">
        <is>
          <t xml:space="preserve">OK</t>
        </is>
      </c>
    </row>
    <row r="141">
      <c r="B141" s="1" t="inlineStr">
        <is>
          <t xml:space="preserve">Put formula "=EOMONTH(0,0)" into cell A98.</t>
        </is>
      </c>
      <c r="C141" s="3" t="inlineStr">
        <is>
          <t xml:space="preserve">OK</t>
        </is>
      </c>
    </row>
    <row r="142">
      <c r="B142" s="1" t="inlineStr">
        <is>
          <t xml:space="preserve">Put formula "=EOMONTH(60,0)" into cell A99.</t>
        </is>
      </c>
      <c r="C142" s="3" t="inlineStr">
        <is>
          <t xml:space="preserve">OK</t>
        </is>
      </c>
    </row>
    <row r="143">
      <c r="B143" s="1" t="inlineStr">
        <is>
          <t xml:space="preserve">Put formula "=EOMONTH(DATE(9999,12,1),0)" into cell A100.</t>
        </is>
      </c>
      <c r="C143" s="3" t="inlineStr">
        <is>
          <t xml:space="preserve">OK</t>
        </is>
      </c>
    </row>
    <row r="144">
      <c r="B144" s="1" t="inlineStr">
        <is>
          <t xml:space="preserve">Put formula "=EOMONTH(DATE(9999,12,1),1)" into cell A101.</t>
        </is>
      </c>
      <c r="C144" s="3" t="inlineStr">
        <is>
          <t xml:space="preserve">OK</t>
        </is>
      </c>
    </row>
    <row r="145">
      <c r="B145" s="1" t="inlineStr">
        <is>
          <t xml:space="preserve">Put formula "=EOMONTH(Data!A1,""1"")" into cell A102.</t>
        </is>
      </c>
      <c r="C145" s="3" t="inlineStr">
        <is>
          <t xml:space="preserve">OK</t>
        </is>
      </c>
    </row>
    <row r="146">
      <c r="B146" s="1" t="inlineStr">
        <is>
          <t xml:space="preserve">Put formula "=EOMONTH(Data!A7,0)" into cell A103.</t>
        </is>
      </c>
      <c r="C146" s="3" t="inlineStr">
        <is>
          <t xml:space="preserve">OK</t>
        </is>
      </c>
    </row>
    <row r="147">
      <c r="B147" s="1" t="inlineStr">
        <is>
          <t xml:space="preserve">Put formula "=EDATE(DATE(2011,1,31),1)" into cell A104.</t>
        </is>
      </c>
      <c r="C147" s="3" t="inlineStr">
        <is>
          <t xml:space="preserve">OK</t>
        </is>
      </c>
    </row>
    <row r="148">
      <c r="B148" s="1" t="inlineStr">
        <is>
          <t xml:space="preserve">Put formula "=EDATE(Data!A2,12)" into cell A105.</t>
        </is>
      </c>
      <c r="C148" s="3" t="inlineStr">
        <is>
          <t xml:space="preserve">OK</t>
        </is>
      </c>
    </row>
    <row r="149">
      <c r="B149" s="1" t="inlineStr">
        <is>
          <t xml:space="preserve">Put formula "=EDATE(Data!A2,-12)" into cell A106.</t>
        </is>
      </c>
      <c r="C149" s="3" t="inlineStr">
        <is>
          <t xml:space="preserve">OK</t>
        </is>
      </c>
    </row>
    <row r="150">
      <c r="B150" s="1" t="inlineStr">
        <is>
          <t xml:space="preserve">Put formula "=EDATE(Data!A2,48)" into cell A107.</t>
        </is>
      </c>
      <c r="C150" s="3" t="inlineStr">
        <is>
          <t xml:space="preserve">OK</t>
        </is>
      </c>
    </row>
    <row r="151">
      <c r="B151" s="1" t="inlineStr">
        <is>
          <t xml:space="preserve">Put formula "=EDATE(Data!A1,-1.9)" into cell A108.</t>
        </is>
      </c>
      <c r="C151" s="3" t="inlineStr">
        <is>
          <t xml:space="preserve">OK</t>
        </is>
      </c>
    </row>
    <row r="152">
      <c r="B152" s="1" t="inlineStr">
        <is>
          <t xml:space="preserve">Put formula "=EDATE(Data!A1,1.9)" into cell A109.</t>
        </is>
      </c>
      <c r="C152" s="3" t="inlineStr">
        <is>
          <t xml:space="preserve">OK</t>
        </is>
      </c>
    </row>
    <row r="153">
      <c r="B153" s="1" t="inlineStr">
        <is>
          <t xml:space="preserve">Put formula "=EDATE(DATE(1900,1,31),1)" into cell A110.</t>
        </is>
      </c>
      <c r="C153" s="3" t="inlineStr">
        <is>
          <t xml:space="preserve">OK</t>
        </is>
      </c>
    </row>
    <row r="154">
      <c r="B154" s="1" t="inlineStr">
        <is>
          <t xml:space="preserve">Put formula "=EDATE(DATE(1900,3,31),-1)" into cell A111.</t>
        </is>
      </c>
      <c r="C154" s="3" t="inlineStr">
        <is>
          <t xml:space="preserve">OK</t>
        </is>
      </c>
    </row>
    <row r="155">
      <c r="B155" s="1" t="inlineStr">
        <is>
          <t xml:space="preserve">Put formula "=EDATE(31,-1)" into cell A112.</t>
        </is>
      </c>
      <c r="C155" s="3" t="inlineStr">
        <is>
          <t xml:space="preserve">OK</t>
        </is>
      </c>
    </row>
    <row r="156">
      <c r="B156" s="1" t="inlineStr">
        <is>
          <t xml:space="preserve">Put formula "=EDATE(0,0)" into cell A113.</t>
        </is>
      </c>
      <c r="C156" s="3" t="inlineStr">
        <is>
          <t xml:space="preserve">OK</t>
        </is>
      </c>
    </row>
    <row r="157">
      <c r="B157" s="1" t="inlineStr">
        <is>
          <t xml:space="preserve">Put formula "=EDATE(0,1)" into cell A114.</t>
        </is>
      </c>
      <c r="C157" s="3" t="inlineStr">
        <is>
          <t xml:space="preserve">OK</t>
        </is>
      </c>
    </row>
    <row r="158">
      <c r="B158" s="1" t="inlineStr">
        <is>
          <t xml:space="preserve">Put formula "=EDATE(60,12)" into cell A115.</t>
        </is>
      </c>
      <c r="C158" s="3" t="inlineStr">
        <is>
          <t xml:space="preserve">OK</t>
        </is>
      </c>
    </row>
    <row r="159">
      <c r="B159" s="1" t="inlineStr">
        <is>
          <t xml:space="preserve">Put formula "=EDATE(Data!A5,1)" into cell A116.</t>
        </is>
      </c>
      <c r="C159" s="3" t="inlineStr">
        <is>
          <t xml:space="preserve">OK</t>
        </is>
      </c>
    </row>
    <row r="160">
      <c r="B160" s="1" t="inlineStr">
        <is>
          <t xml:space="preserve">Put formula "=DAYS(Data!A1,Data!A2)" into cell A117.</t>
        </is>
      </c>
      <c r="C160" s="3" t="inlineStr">
        <is>
          <t xml:space="preserve">OK</t>
        </is>
      </c>
    </row>
    <row r="161">
      <c r="B161" s="1" t="inlineStr">
        <is>
          <t xml:space="preserve">Put formula "=DAYS(Data!A2,Data!A1)" into cell A118.</t>
        </is>
      </c>
      <c r="C161" s="3" t="inlineStr">
        <is>
          <t xml:space="preserve">OK</t>
        </is>
      </c>
    </row>
    <row r="162">
      <c r="B162" s="1" t="inlineStr">
        <is>
          <t xml:space="preserve">Put formula "=DAYS(Data!A5,Data!A1)" into cell A119.</t>
        </is>
      </c>
      <c r="C162" s="3" t="inlineStr">
        <is>
          <t xml:space="preserve">OK</t>
        </is>
      </c>
    </row>
    <row r="163">
      <c r="B163" s="1" t="inlineStr">
        <is>
          <t xml:space="preserve">Put formula "=DAYS(2.1,1.9)" into cell A120.</t>
        </is>
      </c>
      <c r="C163" s="3" t="inlineStr">
        <is>
          <t xml:space="preserve">OK</t>
        </is>
      </c>
    </row>
    <row r="164">
      <c r="B164" s="1" t="inlineStr">
        <is>
          <t xml:space="preserve">Put formula "=DAYS(1.9,2.1)" into cell A121.</t>
        </is>
      </c>
      <c r="C164" s="3" t="inlineStr">
        <is>
          <t xml:space="preserve">OK</t>
        </is>
      </c>
    </row>
    <row r="165">
      <c r="B165" s="1" t="inlineStr">
        <is>
          <t xml:space="preserve">Put formula "=DAYS(Data!A1,Data!A7)" into cell A122.</t>
        </is>
      </c>
      <c r="C165" s="3" t="inlineStr">
        <is>
          <t xml:space="preserve">OK</t>
        </is>
      </c>
    </row>
    <row r="166">
      <c r="B166" s="1" t="inlineStr">
        <is>
          <t xml:space="preserve">Put formula "=DAYS(-1,1)" into cell A123.</t>
        </is>
      </c>
      <c r="C166" s="3" t="inlineStr">
        <is>
          <t xml:space="preserve">OK</t>
        </is>
      </c>
    </row>
    <row r="167">
      <c r="B167" s="1" t="inlineStr">
        <is>
          <t xml:space="preserve">Put formula "=DAYS(Data!A11,0)" into cell A124.</t>
        </is>
      </c>
      <c r="C167" s="3" t="inlineStr">
        <is>
          <t xml:space="preserve">OK</t>
        </is>
      </c>
    </row>
    <row r="168">
      <c r="B168" s="1" t="inlineStr">
        <is>
          <t xml:space="preserve">Put formula "=NETWORKDAYS(Data!A1,Data!A1+13)" into cell A125.</t>
        </is>
      </c>
      <c r="C168" s="3" t="inlineStr">
        <is>
          <t xml:space="preserve">OK</t>
        </is>
      </c>
    </row>
    <row r="169">
      <c r="B169" s="1" t="inlineStr">
        <is>
          <t xml:space="preserve">Put formula "=NETWORKDAYS(Data!A1,Data!A1+13,Data!B1:B6)" into cell A126.</t>
        </is>
      </c>
      <c r="C169" s="3" t="inlineStr">
        <is>
          <t xml:space="preserve">OK</t>
        </is>
      </c>
    </row>
    <row r="170">
      <c r="B170" s="1" t="inlineStr">
        <is>
          <t xml:space="preserve">Put formula "=NETWORKDAYS(Data!A1+13,Data!A1,Data!B1:B6)" into cell A127.</t>
        </is>
      </c>
      <c r="C170" s="3" t="inlineStr">
        <is>
          <t xml:space="preserve">OK</t>
        </is>
      </c>
    </row>
    <row r="171">
      <c r="B171" s="1" t="inlineStr">
        <is>
          <t xml:space="preserve">Put formula "=NETWORKDAYS(Data!A1+2,Data!A1+3)" into cell A128.</t>
        </is>
      </c>
      <c r="C171" s="3" t="inlineStr">
        <is>
          <t xml:space="preserve">OK</t>
        </is>
      </c>
    </row>
    <row r="172">
      <c r="B172" s="1" t="inlineStr">
        <is>
          <t xml:space="preserve">Put formula "=NETWORKDAYS(Data!A1,Data!A1)" into cell A129.</t>
        </is>
      </c>
      <c r="C172" s="3" t="inlineStr">
        <is>
          <t xml:space="preserve">OK</t>
        </is>
      </c>
    </row>
    <row r="173">
      <c r="B173" s="1" t="inlineStr">
        <is>
          <t xml:space="preserve">Put formula "=NETWORKDAYS(Data!A1+2,Data!A1+2)" into cell A130.</t>
        </is>
      </c>
      <c r="C173" s="3" t="inlineStr">
        <is>
          <t xml:space="preserve">OK</t>
        </is>
      </c>
    </row>
    <row r="174">
      <c r="B174" s="1" t="inlineStr">
        <is>
          <t xml:space="preserve">Put formula "=NETWORKDAYS(Data!A1,Data!A1,Data!A1)" into cell A131.</t>
        </is>
      </c>
      <c r="C174" s="3" t="inlineStr">
        <is>
          <t xml:space="preserve">OK</t>
        </is>
      </c>
    </row>
    <row r="175">
      <c r="B175" s="1" t="inlineStr">
        <is>
          <t xml:space="preserve">Put formula "=NETWORKDAYS(Data!A1,Data!A1+13,46027)" into cell A132.</t>
        </is>
      </c>
      <c r="C175" s="3" t="inlineStr">
        <is>
          <t xml:space="preserve">OK</t>
        </is>
      </c>
    </row>
    <row r="176">
      <c r="B176" s="1" t="inlineStr">
        <is>
          <t xml:space="preserve">Put formula "=NETWORKDAYS(Data!A1,Data!A1+13,Data!C1:C2)" into cell A133.</t>
        </is>
      </c>
      <c r="C176" s="3" t="inlineStr">
        <is>
          <t xml:space="preserve">OK</t>
        </is>
      </c>
    </row>
    <row r="177">
      <c r="B177" s="1" t="inlineStr">
        <is>
          <t xml:space="preserve">Put formula "=NETWORKDAYS(Data!A1,Data!A1+13,Data!D1:D2)" into cell A134.</t>
        </is>
      </c>
      <c r="C177" s="3" t="inlineStr">
        <is>
          <t xml:space="preserve">OK</t>
        </is>
      </c>
    </row>
    <row r="178">
      <c r="B178" s="1" t="inlineStr">
        <is>
          <t xml:space="preserve">Put formula "=NETWORKDAYS(Data!A1,Data!A1+13,Data!E1:E2)" into cell A135.</t>
        </is>
      </c>
      <c r="C178" s="3" t="inlineStr">
        <is>
          <t xml:space="preserve">OK</t>
        </is>
      </c>
    </row>
    <row r="179">
      <c r="B179" s="1" t="inlineStr">
        <is>
          <t xml:space="preserve">Put formula "=NETWORKDAYS(Data!A1,Data!A1+13,Data!A9)" into cell A136.</t>
        </is>
      </c>
      <c r="C179" s="3" t="inlineStr">
        <is>
          <t xml:space="preserve">OK</t>
        </is>
      </c>
    </row>
    <row r="180">
      <c r="B180" s="1" t="inlineStr">
        <is>
          <t xml:space="preserve">Put formula "=NETWORKDAYS(Data!A1+0.9,Data!A1+13.9)" into cell A137.</t>
        </is>
      </c>
      <c r="C180" s="3" t="inlineStr">
        <is>
          <t xml:space="preserve">OK</t>
        </is>
      </c>
    </row>
    <row r="181">
      <c r="B181" s="1" t="inlineStr">
        <is>
          <t xml:space="preserve">Put formula "=NETWORKDAYS(Data!A1,Data!A1+365)" into cell A138.</t>
        </is>
      </c>
      <c r="C181" s="3" t="inlineStr">
        <is>
          <t xml:space="preserve">OK</t>
        </is>
      </c>
    </row>
    <row r="182">
      <c r="B182" s="1" t="inlineStr">
        <is>
          <t xml:space="preserve">Put formula "=NETWORKDAYS(1,Data!A11)" into cell A139.</t>
        </is>
      </c>
      <c r="C182" s="3" t="inlineStr">
        <is>
          <t xml:space="preserve">OK</t>
        </is>
      </c>
    </row>
    <row r="183">
      <c r="B183" s="1" t="inlineStr">
        <is>
          <t xml:space="preserve">Put formula "=NETWORKDAYS(Data!A7,Data!A1)" into cell A140.</t>
        </is>
      </c>
      <c r="C183" s="3" t="inlineStr">
        <is>
          <t xml:space="preserve">OK</t>
        </is>
      </c>
    </row>
    <row r="184">
      <c r="B184" s="1" t="inlineStr">
        <is>
          <t xml:space="preserve">Put formula "=NETWORKDAYS(-1,Data!A1)" into cell A141.</t>
        </is>
      </c>
      <c r="C184" s="3" t="inlineStr">
        <is>
          <t xml:space="preserve">OK</t>
        </is>
      </c>
    </row>
    <row r="185">
      <c r="B185" s="1" t="inlineStr">
        <is>
          <t xml:space="preserve">Put formula "=WORKDAY(Data!A1,1)" into cell A142.</t>
        </is>
      </c>
      <c r="C185" s="3" t="inlineStr">
        <is>
          <t xml:space="preserve">OK</t>
        </is>
      </c>
    </row>
    <row r="186">
      <c r="B186" s="1" t="inlineStr">
        <is>
          <t xml:space="preserve">Put formula "=WORKDAY(Data!A1,2)" into cell A143.</t>
        </is>
      </c>
      <c r="C186" s="3" t="inlineStr">
        <is>
          <t xml:space="preserve">OK</t>
        </is>
      </c>
    </row>
    <row r="187">
      <c r="B187" s="1" t="inlineStr">
        <is>
          <t xml:space="preserve">Put formula "=WORKDAY(Data!A1,2,Data!B1:B6)" into cell A144.</t>
        </is>
      </c>
      <c r="C187" s="3" t="inlineStr">
        <is>
          <t xml:space="preserve">OK</t>
        </is>
      </c>
    </row>
    <row r="188">
      <c r="B188" s="1" t="inlineStr">
        <is>
          <t xml:space="preserve">Put formula "=WORKDAY(Data!A1,-1)" into cell A145.</t>
        </is>
      </c>
      <c r="C188" s="3" t="inlineStr">
        <is>
          <t xml:space="preserve">OK</t>
        </is>
      </c>
    </row>
    <row r="189">
      <c r="B189" s="1" t="inlineStr">
        <is>
          <t xml:space="preserve">Put formula "=WORKDAY(Data!A1,0)" into cell A146.</t>
        </is>
      </c>
      <c r="C189" s="3" t="inlineStr">
        <is>
          <t xml:space="preserve">OK</t>
        </is>
      </c>
    </row>
    <row r="190">
      <c r="B190" s="1" t="inlineStr">
        <is>
          <t xml:space="preserve">Put formula "=WORKDAY(Data!A1+2,0)" into cell A147.</t>
        </is>
      </c>
      <c r="C190" s="3" t="inlineStr">
        <is>
          <t xml:space="preserve">OK</t>
        </is>
      </c>
    </row>
    <row r="191">
      <c r="B191" s="1" t="inlineStr">
        <is>
          <t xml:space="preserve">Put formula "=WORKDAY(Data!A1+2,1)" into cell A148.</t>
        </is>
      </c>
      <c r="C191" s="3" t="inlineStr">
        <is>
          <t xml:space="preserve">OK</t>
        </is>
      </c>
    </row>
    <row r="192">
      <c r="B192" s="1" t="inlineStr">
        <is>
          <t xml:space="preserve">Put formula "=WORKDAY(Data!A1+2,-1)" into cell A149.</t>
        </is>
      </c>
      <c r="C192" s="3" t="inlineStr">
        <is>
          <t xml:space="preserve">OK</t>
        </is>
      </c>
    </row>
    <row r="193">
      <c r="B193" s="1" t="inlineStr">
        <is>
          <t xml:space="preserve">Put formula "=WORKDAY(Data!A1,1.9)" into cell A150.</t>
        </is>
      </c>
      <c r="C193" s="3" t="inlineStr">
        <is>
          <t xml:space="preserve">OK</t>
        </is>
      </c>
    </row>
    <row r="194">
      <c r="B194" s="1" t="inlineStr">
        <is>
          <t xml:space="preserve">Put formula "=WORKDAY(Data!A1,-1.9)" into cell A151.</t>
        </is>
      </c>
      <c r="C194" s="3" t="inlineStr">
        <is>
          <t xml:space="preserve">OK</t>
        </is>
      </c>
    </row>
    <row r="195">
      <c r="B195" s="1" t="inlineStr">
        <is>
          <t xml:space="preserve">Put formula "=WORKDAY(Data!A1,10,Data!B1:B6)" into cell A152.</t>
        </is>
      </c>
      <c r="C195" s="3" t="inlineStr">
        <is>
          <t xml:space="preserve">OK</t>
        </is>
      </c>
    </row>
    <row r="196">
      <c r="B196" s="1" t="inlineStr">
        <is>
          <t xml:space="preserve">Put formula "=WORKDAY(Data!A1,1000)" into cell A153.</t>
        </is>
      </c>
      <c r="C196" s="3" t="inlineStr">
        <is>
          <t xml:space="preserve">OK</t>
        </is>
      </c>
    </row>
    <row r="197">
      <c r="B197" s="1" t="inlineStr">
        <is>
          <t xml:space="preserve">Put formula "=WORKDAY(Data!A1,-1000,Data!B1:B6)" into cell A154.</t>
        </is>
      </c>
      <c r="C197" s="3" t="inlineStr">
        <is>
          <t xml:space="preserve">OK</t>
        </is>
      </c>
    </row>
    <row r="198">
      <c r="B198" s="1" t="inlineStr">
        <is>
          <t xml:space="preserve">Put formula "=WORKDAY(46027,0,Data!B1:B6)" into cell A155.</t>
        </is>
      </c>
      <c r="C198" s="3" t="inlineStr">
        <is>
          <t xml:space="preserve">OK</t>
        </is>
      </c>
    </row>
    <row r="199">
      <c r="B199" s="1" t="inlineStr">
        <is>
          <t xml:space="preserve">Put formula "=WORKDAY(Data!A1,3,Data!C1:C2)" into cell A156.</t>
        </is>
      </c>
      <c r="C199" s="3" t="inlineStr">
        <is>
          <t xml:space="preserve">OK</t>
        </is>
      </c>
    </row>
    <row r="200">
      <c r="B200" s="1" t="inlineStr">
        <is>
          <t xml:space="preserve">Put formula "=WORKDAY(Data!A1,3,Data!A9)" into cell A157.</t>
        </is>
      </c>
      <c r="C200" s="3" t="inlineStr">
        <is>
          <t xml:space="preserve">OK</t>
        </is>
      </c>
    </row>
    <row r="201">
      <c r="B201" s="1" t="inlineStr">
        <is>
          <t xml:space="preserve">Put formula "=WORKDAY(1,-1)" into cell A158.</t>
        </is>
      </c>
      <c r="C201" s="3" t="inlineStr">
        <is>
          <t xml:space="preserve">OK</t>
        </is>
      </c>
    </row>
    <row r="202">
      <c r="B202" s="1" t="inlineStr">
        <is>
          <t xml:space="preserve">Put formula "=WORKDAY(Data!A11,1)" into cell A159.</t>
        </is>
      </c>
      <c r="C202" s="3" t="inlineStr">
        <is>
          <t xml:space="preserve">OK</t>
        </is>
      </c>
    </row>
    <row r="203">
      <c r="B203" s="1" t="inlineStr">
        <is>
          <t xml:space="preserve">Put formula "=WORKDAY(Data!A1+0.5,1)" into cell A160.</t>
        </is>
      </c>
      <c r="C203" s="3" t="inlineStr">
        <is>
          <t xml:space="preserve">OK</t>
        </is>
      </c>
    </row>
    <row r="204">
      <c r="B204" s="1" t="inlineStr">
        <is>
          <t xml:space="preserve">Put formula "=TIME(18,0,0)" into cell A161.</t>
        </is>
      </c>
      <c r="C204" s="3" t="inlineStr">
        <is>
          <t xml:space="preserve">OK</t>
        </is>
      </c>
    </row>
    <row r="205">
      <c r="B205" s="1" t="inlineStr">
        <is>
          <t xml:space="preserve">Put formula "=TIME(12,30,15)" into cell A162.</t>
        </is>
      </c>
      <c r="C205" s="3" t="inlineStr">
        <is>
          <t xml:space="preserve">OK</t>
        </is>
      </c>
    </row>
    <row r="206">
      <c r="B206" s="1" t="inlineStr">
        <is>
          <t xml:space="preserve">Put formula "=TIME(24,0,0)" into cell A163.</t>
        </is>
      </c>
      <c r="C206" s="3" t="inlineStr">
        <is>
          <t xml:space="preserve">OK</t>
        </is>
      </c>
    </row>
    <row r="207">
      <c r="B207" s="1" t="inlineStr">
        <is>
          <t xml:space="preserve">Put formula "=TIME(25,0,0)" into cell A164.</t>
        </is>
      </c>
      <c r="C207" s="3" t="inlineStr">
        <is>
          <t xml:space="preserve">OK</t>
        </is>
      </c>
    </row>
    <row r="208">
      <c r="B208" s="1" t="inlineStr">
        <is>
          <t xml:space="preserve">Put formula "=TIME(23,59,60)" into cell A165.</t>
        </is>
      </c>
      <c r="C208" s="3" t="inlineStr">
        <is>
          <t xml:space="preserve">OK</t>
        </is>
      </c>
    </row>
    <row r="209">
      <c r="B209" s="1" t="inlineStr">
        <is>
          <t xml:space="preserve">Put formula "=TIME(0,90,0)" into cell A166.</t>
        </is>
      </c>
      <c r="C209" s="3" t="inlineStr">
        <is>
          <t xml:space="preserve">OK</t>
        </is>
      </c>
    </row>
    <row r="210">
      <c r="B210" s="1" t="inlineStr">
        <is>
          <t xml:space="preserve">Put formula "=TIME(1,-30,0)" into cell A167.</t>
        </is>
      </c>
      <c r="C210" s="3" t="inlineStr">
        <is>
          <t xml:space="preserve">OK</t>
        </is>
      </c>
    </row>
    <row r="211">
      <c r="B211" s="1" t="inlineStr">
        <is>
          <t xml:space="preserve">Put formula "=TIME(1,-60,0)" into cell A168.</t>
        </is>
      </c>
      <c r="C211" s="3" t="inlineStr">
        <is>
          <t xml:space="preserve">OK</t>
        </is>
      </c>
    </row>
    <row r="212">
      <c r="B212" s="1" t="inlineStr">
        <is>
          <t xml:space="preserve">Put formula "=TIME(1,-61,0)" into cell A169.</t>
        </is>
      </c>
      <c r="C212" s="3" t="inlineStr">
        <is>
          <t xml:space="preserve">OK</t>
        </is>
      </c>
    </row>
    <row r="213">
      <c r="B213" s="1" t="inlineStr">
        <is>
          <t xml:space="preserve">Put formula "=TIME(-1,120,0)" into cell A170.</t>
        </is>
      </c>
      <c r="C213" s="3" t="inlineStr">
        <is>
          <t xml:space="preserve">OK</t>
        </is>
      </c>
    </row>
    <row r="214">
      <c r="B214" s="1" t="inlineStr">
        <is>
          <t xml:space="preserve">Put formula "=TIME(0,0,-1)" into cell A171.</t>
        </is>
      </c>
      <c r="C214" s="3" t="inlineStr">
        <is>
          <t xml:space="preserve">OK</t>
        </is>
      </c>
    </row>
    <row r="215">
      <c r="B215" s="1" t="inlineStr">
        <is>
          <t xml:space="preserve">Put formula "=TIME(0,0,59.9)" into cell A172.</t>
        </is>
      </c>
      <c r="C215" s="3" t="inlineStr">
        <is>
          <t xml:space="preserve">OK</t>
        </is>
      </c>
    </row>
    <row r="216">
      <c r="B216" s="1" t="inlineStr">
        <is>
          <t xml:space="preserve">Put formula "=TIME(0,0,-0.5)" into cell A173.</t>
        </is>
      </c>
      <c r="C216" s="3" t="inlineStr">
        <is>
          <t xml:space="preserve">OK</t>
        </is>
      </c>
    </row>
    <row r="217">
      <c r="B217" s="1" t="inlineStr">
        <is>
          <t xml:space="preserve">Put formula "=TIME(32767,0,0)" into cell A174.</t>
        </is>
      </c>
      <c r="C217" s="3" t="inlineStr">
        <is>
          <t xml:space="preserve">OK</t>
        </is>
      </c>
    </row>
    <row r="218">
      <c r="B218" s="1" t="inlineStr">
        <is>
          <t xml:space="preserve">Put formula "=TIME(32768,0,0)" into cell A175.</t>
        </is>
      </c>
      <c r="C218" s="3" t="inlineStr">
        <is>
          <t xml:space="preserve">OK</t>
        </is>
      </c>
    </row>
    <row r="219">
      <c r="B219" s="1" t="inlineStr">
        <is>
          <t xml:space="preserve">Put formula "=TIME(0,32767,0)" into cell A176.</t>
        </is>
      </c>
      <c r="C219" s="3" t="inlineStr">
        <is>
          <t xml:space="preserve">OK</t>
        </is>
      </c>
    </row>
    <row r="220">
      <c r="B220" s="1" t="inlineStr">
        <is>
          <t xml:space="preserve">Put formula "=TIME(0,0,32767)" into cell A177.</t>
        </is>
      </c>
      <c r="C220" s="3" t="inlineStr">
        <is>
          <t xml:space="preserve">OK</t>
        </is>
      </c>
    </row>
    <row r="221">
      <c r="B221" s="1" t="inlineStr">
        <is>
          <t xml:space="preserve">Put formula "=TIME(0,0,32768)" into cell A178.</t>
        </is>
      </c>
      <c r="C221" s="3" t="inlineStr">
        <is>
          <t xml:space="preserve">OK</t>
        </is>
      </c>
    </row>
    <row r="222">
      <c r="B222" s="1" t="inlineStr">
        <is>
          <t xml:space="preserve">Put formula "=TIME(Data!A9,0,0)" into cell A179.</t>
        </is>
      </c>
      <c r="C222" s="3" t="inlineStr">
        <is>
          <t xml:space="preserve">OK</t>
        </is>
      </c>
    </row>
    <row r="223">
      <c r="B223" s="1" t="inlineStr">
        <is>
          <t xml:space="preserve">Put formula "=HOUR(Data!A5)" into cell A180.</t>
        </is>
      </c>
      <c r="C223" s="3" t="inlineStr">
        <is>
          <t xml:space="preserve">OK</t>
        </is>
      </c>
    </row>
    <row r="224">
      <c r="B224" s="1" t="inlineStr">
        <is>
          <t xml:space="preserve">Put formula "=MINUTE(Data!A5)" into cell A181.</t>
        </is>
      </c>
      <c r="C224" s="3" t="inlineStr">
        <is>
          <t xml:space="preserve">OK</t>
        </is>
      </c>
    </row>
    <row r="225">
      <c r="B225" s="1" t="inlineStr">
        <is>
          <t xml:space="preserve">Put formula "=SECOND(Data!A5)" into cell A182.</t>
        </is>
      </c>
      <c r="C225" s="3" t="inlineStr">
        <is>
          <t xml:space="preserve">OK</t>
        </is>
      </c>
    </row>
    <row r="226">
      <c r="B226" s="1" t="inlineStr">
        <is>
          <t xml:space="preserve">Put formula "=HOUR(0.75)" into cell A183.</t>
        </is>
      </c>
      <c r="C226" s="3" t="inlineStr">
        <is>
          <t xml:space="preserve">OK</t>
        </is>
      </c>
    </row>
    <row r="227">
      <c r="B227" s="1" t="inlineStr">
        <is>
          <t xml:space="preserve">Put formula "=HOUR(1.75)" into cell A184.</t>
        </is>
      </c>
      <c r="C227" s="3" t="inlineStr">
        <is>
          <t xml:space="preserve">OK</t>
        </is>
      </c>
    </row>
    <row r="228">
      <c r="B228" s="1" t="inlineStr">
        <is>
          <t xml:space="preserve">Put formula "=HOUR(0.999999)" into cell A185.</t>
        </is>
      </c>
      <c r="C228" s="3" t="inlineStr">
        <is>
          <t xml:space="preserve">OK</t>
        </is>
      </c>
    </row>
    <row r="229">
      <c r="B229" s="1" t="inlineStr">
        <is>
          <t xml:space="preserve">Put formula "=MINUTE(0.999999)" into cell A186.</t>
        </is>
      </c>
      <c r="C229" s="3" t="inlineStr">
        <is>
          <t xml:space="preserve">OK</t>
        </is>
      </c>
    </row>
    <row r="230">
      <c r="B230" s="1" t="inlineStr">
        <is>
          <t xml:space="preserve">Put formula "=SECOND(0.999999)" into cell A187.</t>
        </is>
      </c>
      <c r="C230" s="3" t="inlineStr">
        <is>
          <t xml:space="preserve">OK</t>
        </is>
      </c>
    </row>
    <row r="231">
      <c r="B231" s="1" t="inlineStr">
        <is>
          <t xml:space="preserve">Put formula "=HOUR(0.99999)" into cell A188.</t>
        </is>
      </c>
      <c r="C231" s="3" t="inlineStr">
        <is>
          <t xml:space="preserve">OK</t>
        </is>
      </c>
    </row>
    <row r="232">
      <c r="B232" s="1" t="inlineStr">
        <is>
          <t xml:space="preserve">Put formula "=SECOND(0.5/86400)" into cell A189.</t>
        </is>
      </c>
      <c r="C232" s="3" t="inlineStr">
        <is>
          <t xml:space="preserve">OK</t>
        </is>
      </c>
    </row>
    <row r="233">
      <c r="B233" s="1" t="inlineStr">
        <is>
          <t xml:space="preserve">Put formula "=SECOND(0.49/86400)" into cell A190.</t>
        </is>
      </c>
      <c r="C233" s="3" t="inlineStr">
        <is>
          <t xml:space="preserve">OK</t>
        </is>
      </c>
    </row>
    <row r="234">
      <c r="B234" s="1" t="inlineStr">
        <is>
          <t xml:space="preserve">Put formula "=SECOND(0.51/86400)" into cell A191.</t>
        </is>
      </c>
      <c r="C234" s="3" t="inlineStr">
        <is>
          <t xml:space="preserve">OK</t>
        </is>
      </c>
    </row>
    <row r="235">
      <c r="B235" s="1" t="inlineStr">
        <is>
          <t xml:space="preserve">Put formula "=SECOND(TIME(1,2,3)+0.4/86400)" into cell A192.</t>
        </is>
      </c>
      <c r="C235" s="3" t="inlineStr">
        <is>
          <t xml:space="preserve">OK</t>
        </is>
      </c>
    </row>
    <row r="236">
      <c r="B236" s="1" t="inlineStr">
        <is>
          <t xml:space="preserve">Put formula "=SECOND(TIME(1,2,3)+0.6/86400)" into cell A193.</t>
        </is>
      </c>
      <c r="C236" s="3" t="inlineStr">
        <is>
          <t xml:space="preserve">OK</t>
        </is>
      </c>
    </row>
    <row r="237">
      <c r="B237" s="1" t="inlineStr">
        <is>
          <t xml:space="preserve">Put formula "=SECOND(TIME(1,2,3))" into cell A194.</t>
        </is>
      </c>
      <c r="C237" s="3" t="inlineStr">
        <is>
          <t xml:space="preserve">OK</t>
        </is>
      </c>
    </row>
    <row r="238">
      <c r="B238" s="1" t="inlineStr">
        <is>
          <t xml:space="preserve">Put formula "=MINUTE(TIME(1,2,3))" into cell A195.</t>
        </is>
      </c>
      <c r="C238" s="3" t="inlineStr">
        <is>
          <t xml:space="preserve">OK</t>
        </is>
      </c>
    </row>
    <row r="239">
      <c r="B239" s="1" t="inlineStr">
        <is>
          <t xml:space="preserve">Put formula "=HOUR(TIME(1,2,3))" into cell A196.</t>
        </is>
      </c>
      <c r="C239" s="3" t="inlineStr">
        <is>
          <t xml:space="preserve">OK</t>
        </is>
      </c>
    </row>
    <row r="240">
      <c r="B240" s="1" t="inlineStr">
        <is>
          <t xml:space="preserve">Put formula "=HOUR(-0.1)" into cell A197.</t>
        </is>
      </c>
      <c r="C240" s="3" t="inlineStr">
        <is>
          <t xml:space="preserve">OK</t>
        </is>
      </c>
    </row>
    <row r="241">
      <c r="B241" s="1" t="inlineStr">
        <is>
          <t xml:space="preserve">Put formula "=HOUR(2958466)" into cell A198.</t>
        </is>
      </c>
      <c r="C241" s="3" t="inlineStr">
        <is>
          <t xml:space="preserve">OK</t>
        </is>
      </c>
    </row>
    <row r="242">
      <c r="B242" s="1" t="inlineStr">
        <is>
          <t xml:space="preserve">Put formula "=HOUR(Data!A7)" into cell A199.</t>
        </is>
      </c>
      <c r="C242" s="3" t="inlineStr">
        <is>
          <t xml:space="preserve">OK</t>
        </is>
      </c>
    </row>
    <row r="243">
      <c r="B243" s="1" t="inlineStr">
        <is>
          <t xml:space="preserve">Put formula "=SECOND(Data!A11+0.9999999)" into cell A200.</t>
        </is>
      </c>
      <c r="C243" s="3" t="inlineStr">
        <is>
          <t xml:space="preserve">OK</t>
        </is>
      </c>
    </row>
    <row r="244">
      <c r="B244" s="1" t="inlineStr">
        <is>
          <t xml:space="preserve">Put formula "=MINUTE(Data!A12)" into cell A201.</t>
        </is>
      </c>
      <c r="C244" s="3" t="inlineStr">
        <is>
          <t xml:space="preserve">OK</t>
        </is>
      </c>
    </row>
    <row r="245">
      <c r="B245" s="1" t="inlineStr">
        <is>
          <t xml:space="preserve">Put formula "=DATEDIF(DATE(2001,1,1),DATE(2003,1,1),""Y"")" into cell A202.</t>
        </is>
      </c>
      <c r="C245" s="3" t="inlineStr">
        <is>
          <t xml:space="preserve">OK</t>
        </is>
      </c>
    </row>
    <row r="246">
      <c r="B246" s="1" t="inlineStr">
        <is>
          <t xml:space="preserve">Put formula "=DATEDIF(DATE(2001,6,1),DATE(2002,8,15),""D"")" into cell A203.</t>
        </is>
      </c>
      <c r="C246" s="3" t="inlineStr">
        <is>
          <t xml:space="preserve">OK</t>
        </is>
      </c>
    </row>
    <row r="247">
      <c r="B247" s="1" t="inlineStr">
        <is>
          <t xml:space="preserve">Put formula "=DATEDIF(DATE(2001,6,1),DATE(2002,8,15),""M"")" into cell A204.</t>
        </is>
      </c>
      <c r="C247" s="3" t="inlineStr">
        <is>
          <t xml:space="preserve">OK</t>
        </is>
      </c>
    </row>
    <row r="248">
      <c r="B248" s="1" t="inlineStr">
        <is>
          <t xml:space="preserve">Put formula "=DATEDIF(DATE(2001,6,1),DATE(2002,8,15),""YM"")" into cell A205.</t>
        </is>
      </c>
      <c r="C248" s="3" t="inlineStr">
        <is>
          <t xml:space="preserve">OK</t>
        </is>
      </c>
    </row>
    <row r="249">
      <c r="B249" s="1" t="inlineStr">
        <is>
          <t xml:space="preserve">Put formula "=DATEDIF(DATE(2001,6,1),DATE(2002,8,15),""YD"")" into cell A206.</t>
        </is>
      </c>
      <c r="C249" s="3" t="inlineStr">
        <is>
          <t xml:space="preserve">OK</t>
        </is>
      </c>
    </row>
    <row r="250">
      <c r="B250" s="1" t="inlineStr">
        <is>
          <t xml:space="preserve">Put formula "=DATEDIF(DATE(2001,6,1),DATE(2002,8,15),""MD"")" into cell A207.</t>
        </is>
      </c>
      <c r="C250" s="3" t="inlineStr">
        <is>
          <t xml:space="preserve">OK</t>
        </is>
      </c>
    </row>
    <row r="251">
      <c r="B251" s="1" t="inlineStr">
        <is>
          <t xml:space="preserve">Put formula "=DATEDIF(DATE(2001,6,1),DATE(2002,8,15),""md"")" into cell A208.</t>
        </is>
      </c>
      <c r="C251" s="3" t="inlineStr">
        <is>
          <t xml:space="preserve">OK</t>
        </is>
      </c>
    </row>
    <row r="252">
      <c r="B252" s="1" t="inlineStr">
        <is>
          <t xml:space="preserve">Put formula "=DATEDIF(DATE(2011,1,31),DATE(2011,3,1),""MD"")" into cell A209.</t>
        </is>
      </c>
      <c r="C252" s="3" t="inlineStr">
        <is>
          <t xml:space="preserve">OK</t>
        </is>
      </c>
    </row>
    <row r="253">
      <c r="B253" s="1" t="inlineStr">
        <is>
          <t xml:space="preserve">Put formula "=DATEDIF(DATE(2011,1,31),DATE(2011,3,1),""M"")" into cell A210.</t>
        </is>
      </c>
      <c r="C253" s="3" t="inlineStr">
        <is>
          <t xml:space="preserve">OK</t>
        </is>
      </c>
    </row>
    <row r="254">
      <c r="B254" s="1" t="inlineStr">
        <is>
          <t xml:space="preserve">Put formula "=DATEDIF(DATE(2011,1,31),DATE(2011,2,28),""M"")" into cell A211.</t>
        </is>
      </c>
      <c r="C254" s="3" t="inlineStr">
        <is>
          <t xml:space="preserve">OK</t>
        </is>
      </c>
    </row>
    <row r="255">
      <c r="B255" s="1" t="inlineStr">
        <is>
          <t xml:space="preserve">Put formula "=DATEDIF(DATE(2020,2,29),DATE(2021,2,28),""Y"")" into cell A212.</t>
        </is>
      </c>
      <c r="C255" s="3" t="inlineStr">
        <is>
          <t xml:space="preserve">OK</t>
        </is>
      </c>
    </row>
    <row r="256">
      <c r="B256" s="1" t="inlineStr">
        <is>
          <t xml:space="preserve">Put formula "=DATEDIF(DATE(2020,2,29),DATE(2021,2,28),""YD"")" into cell A213.</t>
        </is>
      </c>
      <c r="C256" s="3" t="inlineStr">
        <is>
          <t xml:space="preserve">OK</t>
        </is>
      </c>
    </row>
    <row r="257">
      <c r="B257" s="1" t="inlineStr">
        <is>
          <t xml:space="preserve">Put formula "=DATEDIF(DATE(2020,2,29),DATE(2021,3,1),""YD"")" into cell A214.</t>
        </is>
      </c>
      <c r="C257" s="3" t="inlineStr">
        <is>
          <t xml:space="preserve">OK</t>
        </is>
      </c>
    </row>
    <row r="258">
      <c r="B258" s="1" t="inlineStr">
        <is>
          <t xml:space="preserve">Put formula "=DATEDIF(DATE(2019,3,1),DATE(2020,2,29),""YD"")" into cell A215.</t>
        </is>
      </c>
      <c r="C258" s="3" t="inlineStr">
        <is>
          <t xml:space="preserve">OK</t>
        </is>
      </c>
    </row>
    <row r="259">
      <c r="B259" s="1" t="inlineStr">
        <is>
          <t xml:space="preserve">Put formula "=DATEDIF(DATE(2019,12,31),DATE(2020,1,1),""YD"")" into cell A216.</t>
        </is>
      </c>
      <c r="C259" s="3" t="inlineStr">
        <is>
          <t xml:space="preserve">OK</t>
        </is>
      </c>
    </row>
    <row r="260">
      <c r="B260" s="1" t="inlineStr">
        <is>
          <t xml:space="preserve">Put formula "=DATEDIF(DATE(2020,3,31),DATE(2020,4,30),""MD"")" into cell A217.</t>
        </is>
      </c>
      <c r="C260" s="3" t="inlineStr">
        <is>
          <t xml:space="preserve">OK</t>
        </is>
      </c>
    </row>
    <row r="261">
      <c r="B261" s="1" t="inlineStr">
        <is>
          <t xml:space="preserve">Put formula "=DATEDIF(DATE(2020,1,31),DATE(2020,3,30),""MD"")" into cell A218.</t>
        </is>
      </c>
      <c r="C261" s="3" t="inlineStr">
        <is>
          <t xml:space="preserve">OK</t>
        </is>
      </c>
    </row>
    <row r="262">
      <c r="B262" s="1" t="inlineStr">
        <is>
          <t xml:space="preserve">Put formula "=DATEDIF(Data!A1,Data!A1,""D"")" into cell A219.</t>
        </is>
      </c>
      <c r="C262" s="3" t="inlineStr">
        <is>
          <t xml:space="preserve">OK</t>
        </is>
      </c>
    </row>
    <row r="263">
      <c r="B263" s="1" t="inlineStr">
        <is>
          <t xml:space="preserve">Put formula "=DATEDIF(Data!A1,Data!A2,""D"")" into cell A220.</t>
        </is>
      </c>
      <c r="C263" s="3" t="inlineStr">
        <is>
          <t xml:space="preserve">OK</t>
        </is>
      </c>
    </row>
    <row r="264">
      <c r="B264" s="1" t="inlineStr">
        <is>
          <t xml:space="preserve">Put formula "=DATEDIF(Data!A2,Data!A1,""W"")" into cell A221.</t>
        </is>
      </c>
      <c r="C264" s="3" t="inlineStr">
        <is>
          <t xml:space="preserve">OK</t>
        </is>
      </c>
    </row>
    <row r="265">
      <c r="B265" s="1" t="inlineStr">
        <is>
          <t xml:space="preserve">Put formula "=DATEDIF(Data!A2,Data!A1+0.9,""D"")" into cell A222.</t>
        </is>
      </c>
      <c r="C265" s="3" t="inlineStr">
        <is>
          <t xml:space="preserve">OK</t>
        </is>
      </c>
    </row>
    <row r="266">
      <c r="B266" s="1" t="inlineStr">
        <is>
          <t xml:space="preserve">Put formula "=DATEDIF(1,61,""D"")" into cell A223.</t>
        </is>
      </c>
      <c r="C266" s="3" t="inlineStr">
        <is>
          <t xml:space="preserve">OK</t>
        </is>
      </c>
    </row>
    <row r="267">
      <c r="B267" s="1" t="inlineStr">
        <is>
          <t xml:space="preserve">Put formula "=DATEDIF(0,61,""M"")" into cell A224.</t>
        </is>
      </c>
      <c r="C267" s="3" t="inlineStr">
        <is>
          <t xml:space="preserve">OK</t>
        </is>
      </c>
    </row>
    <row r="268">
      <c r="B268" s="1" t="inlineStr">
        <is>
          <t xml:space="preserve">Put formula "=YEARFRAC(DATE(2012,1,1),DATE(2012,7,30))" into cell A225.</t>
        </is>
      </c>
      <c r="C268" s="3" t="inlineStr">
        <is>
          <t xml:space="preserve">OK</t>
        </is>
      </c>
    </row>
    <row r="269">
      <c r="B269" s="1" t="inlineStr">
        <is>
          <t xml:space="preserve">Put formula "=YEARFRAC(DATE(2012,1,1),DATE(2012,7,30),1)" into cell A226.</t>
        </is>
      </c>
      <c r="C269" s="3" t="inlineStr">
        <is>
          <t xml:space="preserve">OK</t>
        </is>
      </c>
    </row>
    <row r="270">
      <c r="B270" s="1" t="inlineStr">
        <is>
          <t xml:space="preserve">Put formula "=YEARFRAC(DATE(2012,1,1),DATE(2012,7,30),2)" into cell A227.</t>
        </is>
      </c>
      <c r="C270" s="3" t="inlineStr">
        <is>
          <t xml:space="preserve">OK</t>
        </is>
      </c>
    </row>
    <row r="271">
      <c r="B271" s="1" t="inlineStr">
        <is>
          <t xml:space="preserve">Put formula "=YEARFRAC(DATE(2012,1,1),DATE(2012,7,30),3)" into cell A228.</t>
        </is>
      </c>
      <c r="C271" s="3" t="inlineStr">
        <is>
          <t xml:space="preserve">OK</t>
        </is>
      </c>
    </row>
    <row r="272">
      <c r="B272" s="1" t="inlineStr">
        <is>
          <t xml:space="preserve">Put formula "=YEARFRAC(DATE(2012,1,1),DATE(2012,7,30),4)" into cell A229.</t>
        </is>
      </c>
      <c r="C272" s="3" t="inlineStr">
        <is>
          <t xml:space="preserve">OK</t>
        </is>
      </c>
    </row>
    <row r="273">
      <c r="B273" s="1" t="inlineStr">
        <is>
          <t xml:space="preserve">Put formula "=YEARFRAC(DATE(2012,7,30),DATE(2012,1,1),1)" into cell A230.</t>
        </is>
      </c>
      <c r="C273" s="3" t="inlineStr">
        <is>
          <t xml:space="preserve">OK</t>
        </is>
      </c>
    </row>
    <row r="274">
      <c r="B274" s="1" t="inlineStr">
        <is>
          <t xml:space="preserve">Put formula "=YEARFRAC(DATE(2011,1,31),DATE(2011,2,28),0)" into cell A231.</t>
        </is>
      </c>
      <c r="C274" s="3" t="inlineStr">
        <is>
          <t xml:space="preserve">OK</t>
        </is>
      </c>
    </row>
    <row r="275">
      <c r="B275" s="1" t="inlineStr">
        <is>
          <t xml:space="preserve">Put formula "=YEARFRAC(DATE(2011,2,28),DATE(2011,3,31),0)" into cell A232.</t>
        </is>
      </c>
      <c r="C275" s="3" t="inlineStr">
        <is>
          <t xml:space="preserve">OK</t>
        </is>
      </c>
    </row>
    <row r="276">
      <c r="B276" s="1" t="inlineStr">
        <is>
          <t xml:space="preserve">Put formula "=YEARFRAC(DATE(2012,2,29),DATE(2013,2,28),0)" into cell A233.</t>
        </is>
      </c>
      <c r="C276" s="3" t="inlineStr">
        <is>
          <t xml:space="preserve">OK</t>
        </is>
      </c>
    </row>
    <row r="277">
      <c r="B277" s="1" t="inlineStr">
        <is>
          <t xml:space="preserve">Put formula "=YEARFRAC(DATE(2011,1,30),DATE(2011,3,31),0)" into cell A234.</t>
        </is>
      </c>
      <c r="C277" s="3" t="inlineStr">
        <is>
          <t xml:space="preserve">OK</t>
        </is>
      </c>
    </row>
    <row r="278">
      <c r="B278" s="1" t="inlineStr">
        <is>
          <t xml:space="preserve">Put formula "=YEARFRAC(DATE(2011,1,31),DATE(2011,3,31),4)" into cell A235.</t>
        </is>
      </c>
      <c r="C278" s="3" t="inlineStr">
        <is>
          <t xml:space="preserve">OK</t>
        </is>
      </c>
    </row>
    <row r="279">
      <c r="B279" s="1" t="inlineStr">
        <is>
          <t xml:space="preserve">Put formula "=YEARFRAC(DATE(2011,2,28),DATE(2011,3,31),4)" into cell A236.</t>
        </is>
      </c>
      <c r="C279" s="3" t="inlineStr">
        <is>
          <t xml:space="preserve">OK</t>
        </is>
      </c>
    </row>
    <row r="280">
      <c r="B280" s="1" t="inlineStr">
        <is>
          <t xml:space="preserve">Put formula "=YEARFRAC(DATE(2010,6,15),DATE(2013,2,1),1)" into cell A237.</t>
        </is>
      </c>
      <c r="C280" s="3" t="inlineStr">
        <is>
          <t xml:space="preserve">OK</t>
        </is>
      </c>
    </row>
    <row r="281">
      <c r="B281" s="1" t="inlineStr">
        <is>
          <t xml:space="preserve">Put formula "=YEARFRAC(DATE(2011,3,1),DATE(2012,3,1),1)" into cell A238.</t>
        </is>
      </c>
      <c r="C281" s="3" t="inlineStr">
        <is>
          <t xml:space="preserve">OK</t>
        </is>
      </c>
    </row>
    <row r="282">
      <c r="B282" s="1" t="inlineStr">
        <is>
          <t xml:space="preserve">Put formula "=YEARFRAC(DATE(2011,3,2),DATE(2012,3,1),1)" into cell A239.</t>
        </is>
      </c>
      <c r="C282" s="3" t="inlineStr">
        <is>
          <t xml:space="preserve">OK</t>
        </is>
      </c>
    </row>
    <row r="283">
      <c r="B283" s="1" t="inlineStr">
        <is>
          <t xml:space="preserve">Put formula "=YEARFRAC(DATE(2012,2,29),DATE(2013,1,1),1)" into cell A240.</t>
        </is>
      </c>
      <c r="C283" s="3" t="inlineStr">
        <is>
          <t xml:space="preserve">OK</t>
        </is>
      </c>
    </row>
    <row r="284">
      <c r="B284" s="1" t="inlineStr">
        <is>
          <t xml:space="preserve">Put formula "=YEARFRAC(DATE(2012,1,1),DATE(2013,1,1),1)" into cell A241.</t>
        </is>
      </c>
      <c r="C284" s="3" t="inlineStr">
        <is>
          <t xml:space="preserve">OK</t>
        </is>
      </c>
    </row>
    <row r="285">
      <c r="B285" s="1" t="inlineStr">
        <is>
          <t xml:space="preserve">Put formula "=YEARFRAC(DATE(2011,6,1),DATE(2012,5,31),1)" into cell A242.</t>
        </is>
      </c>
      <c r="C285" s="3" t="inlineStr">
        <is>
          <t xml:space="preserve">OK</t>
        </is>
      </c>
    </row>
    <row r="286">
      <c r="B286" s="1" t="inlineStr">
        <is>
          <t xml:space="preserve">Put formula "=YEARFRAC(DATE(2011,1,1),DATE(2011,12,31),1)" into cell A243.</t>
        </is>
      </c>
      <c r="C286" s="3" t="inlineStr">
        <is>
          <t xml:space="preserve">OK</t>
        </is>
      </c>
    </row>
    <row r="287">
      <c r="B287" s="1" t="inlineStr">
        <is>
          <t xml:space="preserve">Put formula "=YEARFRAC(DATE(1900,1,1),DATE(1900,12,31),1)" into cell A244.</t>
        </is>
      </c>
      <c r="C287" s="3" t="inlineStr">
        <is>
          <t xml:space="preserve">OK</t>
        </is>
      </c>
    </row>
    <row r="288">
      <c r="B288" s="1" t="inlineStr">
        <is>
          <t xml:space="preserve">Put formula "=YEARFRAC(DATE(1900,1,1),DATE(1901,1,1),1)" into cell A245.</t>
        </is>
      </c>
      <c r="C288" s="3" t="inlineStr">
        <is>
          <t xml:space="preserve">OK</t>
        </is>
      </c>
    </row>
    <row r="289">
      <c r="B289" s="1" t="inlineStr">
        <is>
          <t xml:space="preserve">Put formula "=YEARFRAC(Data!A2,Data!A1,0)" into cell A246.</t>
        </is>
      </c>
      <c r="C289" s="3" t="inlineStr">
        <is>
          <t xml:space="preserve">OK</t>
        </is>
      </c>
    </row>
    <row r="290">
      <c r="B290" s="1" t="inlineStr">
        <is>
          <t xml:space="preserve">Put formula "=YEARFRAC(Data!A2,Data!A1,1)" into cell A247.</t>
        </is>
      </c>
      <c r="C290" s="3" t="inlineStr">
        <is>
          <t xml:space="preserve">OK</t>
        </is>
      </c>
    </row>
    <row r="291">
      <c r="B291" s="1" t="inlineStr">
        <is>
          <t xml:space="preserve">Put formula "=YEARFRAC(Data!A2,Data!A1,3)" into cell A248.</t>
        </is>
      </c>
      <c r="C291" s="3" t="inlineStr">
        <is>
          <t xml:space="preserve">OK</t>
        </is>
      </c>
    </row>
    <row r="292">
      <c r="B292" s="1" t="inlineStr">
        <is>
          <t xml:space="preserve">Put formula "=YEARFRAC(Data!A1,Data!A1)" into cell A249.</t>
        </is>
      </c>
      <c r="C292" s="3" t="inlineStr">
        <is>
          <t xml:space="preserve">OK</t>
        </is>
      </c>
    </row>
    <row r="293">
      <c r="B293" s="1" t="inlineStr">
        <is>
          <t xml:space="preserve">Put formula "=YEARFRAC(Data!A2,Data!A1,1.9)" into cell A250.</t>
        </is>
      </c>
      <c r="C293" s="3" t="inlineStr">
        <is>
          <t xml:space="preserve">OK</t>
        </is>
      </c>
    </row>
    <row r="294">
      <c r="B294" s="1" t="inlineStr">
        <is>
          <t xml:space="preserve">Put formula "=YEARFRAC(Data!A2,Data!A1,-1)" into cell A251.</t>
        </is>
      </c>
      <c r="C294" s="3" t="inlineStr">
        <is>
          <t xml:space="preserve">OK</t>
        </is>
      </c>
    </row>
    <row r="295">
      <c r="B295" s="1" t="inlineStr">
        <is>
          <t xml:space="preserve">Put formula "=YEARFRAC(Data!A2,Data!A1,5)" into cell A252.</t>
        </is>
      </c>
      <c r="C295" s="3" t="inlineStr">
        <is>
          <t xml:space="preserve">OK</t>
        </is>
      </c>
    </row>
    <row r="296">
      <c r="B296" s="1" t="inlineStr">
        <is>
          <t xml:space="preserve">Put formula "=YEARFRAC(Data!A2,Data!A7)" into cell A253.</t>
        </is>
      </c>
      <c r="C296" s="3" t="inlineStr">
        <is>
          <t xml:space="preserve">OK</t>
        </is>
      </c>
    </row>
    <row r="297">
      <c r="B297" s="1" t="inlineStr">
        <is>
          <t xml:space="preserve">Put formula "=WEEKNUM(Data!A1)" into cell A254.</t>
        </is>
      </c>
      <c r="C297" s="3" t="inlineStr">
        <is>
          <t xml:space="preserve">OK</t>
        </is>
      </c>
    </row>
    <row r="298">
      <c r="B298" s="1" t="inlineStr">
        <is>
          <t xml:space="preserve">Put formula "=WEEKNUM(DATE(2026,1,3))" into cell A255.</t>
        </is>
      </c>
      <c r="C298" s="3" t="inlineStr">
        <is>
          <t xml:space="preserve">OK</t>
        </is>
      </c>
    </row>
    <row r="299">
      <c r="B299" s="1" t="inlineStr">
        <is>
          <t xml:space="preserve">Put formula "=WEEKNUM(DATE(2026,1,4))" into cell A256.</t>
        </is>
      </c>
      <c r="C299" s="3" t="inlineStr">
        <is>
          <t xml:space="preserve">OK</t>
        </is>
      </c>
    </row>
    <row r="300">
      <c r="B300" s="1" t="inlineStr">
        <is>
          <t xml:space="preserve">Put formula "=WEEKNUM(DATE(2026,1,4),2)" into cell A257.</t>
        </is>
      </c>
      <c r="C300" s="3" t="inlineStr">
        <is>
          <t xml:space="preserve">OK</t>
        </is>
      </c>
    </row>
    <row r="301">
      <c r="B301" s="1" t="inlineStr">
        <is>
          <t xml:space="preserve">Put formula "=WEEKNUM(DATE(2026,1,5),2)" into cell A258.</t>
        </is>
      </c>
      <c r="C301" s="3" t="inlineStr">
        <is>
          <t xml:space="preserve">OK</t>
        </is>
      </c>
    </row>
    <row r="302">
      <c r="B302" s="1" t="inlineStr">
        <is>
          <t xml:space="preserve">Put formula "=WEEKNUM(DATE(2026,12,31))" into cell A259.</t>
        </is>
      </c>
      <c r="C302" s="3" t="inlineStr">
        <is>
          <t xml:space="preserve">OK</t>
        </is>
      </c>
    </row>
    <row r="303">
      <c r="B303" s="1" t="inlineStr">
        <is>
          <t xml:space="preserve">Put formula "=WEEKNUM(DATE(2026,12,31),2)" into cell A260.</t>
        </is>
      </c>
      <c r="C303" s="3" t="inlineStr">
        <is>
          <t xml:space="preserve">OK</t>
        </is>
      </c>
    </row>
    <row r="304">
      <c r="B304" s="1" t="inlineStr">
        <is>
          <t xml:space="preserve">Put formula "=WEEKNUM(DATE(2026,1,8),11)" into cell A261.</t>
        </is>
      </c>
      <c r="C304" s="3" t="inlineStr">
        <is>
          <t xml:space="preserve">OK</t>
        </is>
      </c>
    </row>
    <row r="305">
      <c r="B305" s="1" t="inlineStr">
        <is>
          <t xml:space="preserve">Put formula "=WEEKNUM(DATE(2026,1,8),12)" into cell A262.</t>
        </is>
      </c>
      <c r="C305" s="3" t="inlineStr">
        <is>
          <t xml:space="preserve">OK</t>
        </is>
      </c>
    </row>
    <row r="306">
      <c r="B306" s="1" t="inlineStr">
        <is>
          <t xml:space="preserve">Put formula "=WEEKNUM(DATE(2026,1,8),13)" into cell A263.</t>
        </is>
      </c>
      <c r="C306" s="3" t="inlineStr">
        <is>
          <t xml:space="preserve">OK</t>
        </is>
      </c>
    </row>
    <row r="307">
      <c r="B307" s="1" t="inlineStr">
        <is>
          <t xml:space="preserve">Put formula "=WEEKNUM(DATE(2026,1,8),14)" into cell A264.</t>
        </is>
      </c>
      <c r="C307" s="3" t="inlineStr">
        <is>
          <t xml:space="preserve">OK</t>
        </is>
      </c>
    </row>
    <row r="308">
      <c r="B308" s="1" t="inlineStr">
        <is>
          <t xml:space="preserve">Put formula "=WEEKNUM(DATE(2026,1,8),15)" into cell A265.</t>
        </is>
      </c>
      <c r="C308" s="3" t="inlineStr">
        <is>
          <t xml:space="preserve">OK</t>
        </is>
      </c>
    </row>
    <row r="309">
      <c r="B309" s="1" t="inlineStr">
        <is>
          <t xml:space="preserve">Put formula "=WEEKNUM(DATE(2026,1,8),16)" into cell A266.</t>
        </is>
      </c>
      <c r="C309" s="3" t="inlineStr">
        <is>
          <t xml:space="preserve">OK</t>
        </is>
      </c>
    </row>
    <row r="310">
      <c r="B310" s="1" t="inlineStr">
        <is>
          <t xml:space="preserve">Put formula "=WEEKNUM(DATE(2026,1,8),17)" into cell A267.</t>
        </is>
      </c>
      <c r="C310" s="3" t="inlineStr">
        <is>
          <t xml:space="preserve">OK</t>
        </is>
      </c>
    </row>
    <row r="311">
      <c r="B311" s="1" t="inlineStr">
        <is>
          <t xml:space="preserve">Put formula "=WEEKNUM(DATE(2026,1,1),21)" into cell A268.</t>
        </is>
      </c>
      <c r="C311" s="3" t="inlineStr">
        <is>
          <t xml:space="preserve">OK</t>
        </is>
      </c>
    </row>
    <row r="312">
      <c r="B312" s="1" t="inlineStr">
        <is>
          <t xml:space="preserve">Put formula "=WEEKNUM(DATE(2027,1,1),21)" into cell A269.</t>
        </is>
      </c>
      <c r="C312" s="3" t="inlineStr">
        <is>
          <t xml:space="preserve">OK</t>
        </is>
      </c>
    </row>
    <row r="313">
      <c r="B313" s="1" t="inlineStr">
        <is>
          <t xml:space="preserve">Put formula "=WEEKNUM(DATE(2024,12,30),21)" into cell A270.</t>
        </is>
      </c>
      <c r="C313" s="3" t="inlineStr">
        <is>
          <t xml:space="preserve">OK</t>
        </is>
      </c>
    </row>
    <row r="314">
      <c r="B314" s="1" t="inlineStr">
        <is>
          <t xml:space="preserve">Put formula "=WEEKNUM(DATE(2021,1,3),21)" into cell A271.</t>
        </is>
      </c>
      <c r="C314" s="3" t="inlineStr">
        <is>
          <t xml:space="preserve">OK</t>
        </is>
      </c>
    </row>
    <row r="315">
      <c r="B315" s="1" t="inlineStr">
        <is>
          <t xml:space="preserve">Put formula "=WEEKNUM(DATE(2020,12,31),21)" into cell A272.</t>
        </is>
      </c>
      <c r="C315" s="3" t="inlineStr">
        <is>
          <t xml:space="preserve">OK</t>
        </is>
      </c>
    </row>
    <row r="316">
      <c r="B316" s="1" t="inlineStr">
        <is>
          <t xml:space="preserve">Put formula "=WEEKNUM(0)" into cell A273.</t>
        </is>
      </c>
      <c r="C316" s="3" t="inlineStr">
        <is>
          <t xml:space="preserve">OK</t>
        </is>
      </c>
    </row>
    <row r="317">
      <c r="B317" s="1" t="inlineStr">
        <is>
          <t xml:space="preserve">Put formula "=WEEKNUM(1)" into cell A274.</t>
        </is>
      </c>
      <c r="C317" s="3" t="inlineStr">
        <is>
          <t xml:space="preserve">OK</t>
        </is>
      </c>
    </row>
    <row r="318">
      <c r="B318" s="1" t="inlineStr">
        <is>
          <t xml:space="preserve">Put formula "=WEEKNUM(1,21)" into cell A275.</t>
        </is>
      </c>
      <c r="C318" s="3" t="inlineStr">
        <is>
          <t xml:space="preserve">OK</t>
        </is>
      </c>
    </row>
    <row r="319">
      <c r="B319" s="1" t="inlineStr">
        <is>
          <t xml:space="preserve">Put formula "=WEEKNUM(60)" into cell A276.</t>
        </is>
      </c>
      <c r="C319" s="3" t="inlineStr">
        <is>
          <t xml:space="preserve">OK</t>
        </is>
      </c>
    </row>
    <row r="320">
      <c r="B320" s="1" t="inlineStr">
        <is>
          <t xml:space="preserve">Put formula "=WEEKNUM(Data!A1,3)" into cell A277.</t>
        </is>
      </c>
      <c r="C320" s="3" t="inlineStr">
        <is>
          <t xml:space="preserve">OK</t>
        </is>
      </c>
    </row>
    <row r="321">
      <c r="B321" s="1" t="inlineStr">
        <is>
          <t xml:space="preserve">Put formula "=WEEKNUM(Data!A1,1.9)" into cell A278.</t>
        </is>
      </c>
      <c r="C321" s="3" t="inlineStr">
        <is>
          <t xml:space="preserve">OK</t>
        </is>
      </c>
    </row>
    <row r="322">
      <c r="B322" s="1" t="inlineStr">
        <is>
          <t xml:space="preserve">Put formula "=WEEKNUM(Data!A1,22)" into cell A279.</t>
        </is>
      </c>
      <c r="C322" s="3" t="inlineStr">
        <is>
          <t xml:space="preserve">OK</t>
        </is>
      </c>
    </row>
    <row r="323">
      <c r="B323" s="1" t="inlineStr">
        <is>
          <t xml:space="preserve">Put formula "=Data!F1+1" into cell A280.</t>
        </is>
      </c>
      <c r="C323" s="3" t="inlineStr">
        <is>
          <t xml:space="preserve">OK</t>
        </is>
      </c>
    </row>
    <row r="324">
      <c r="B324" s="1" t="inlineStr">
        <is>
          <t xml:space="preserve">Put formula "=Data!F2*2" into cell A281.</t>
        </is>
      </c>
      <c r="C324" s="3" t="inlineStr">
        <is>
          <t xml:space="preserve">OK</t>
        </is>
      </c>
    </row>
    <row r="325">
      <c r="B325" s="1" t="inlineStr">
        <is>
          <t xml:space="preserve">Put formula "=Data!F3+1" into cell A282.</t>
        </is>
      </c>
      <c r="C325" s="3" t="inlineStr">
        <is>
          <t xml:space="preserve">OK</t>
        </is>
      </c>
    </row>
    <row r="326">
      <c r="B326" s="1" t="inlineStr">
        <is>
          <t xml:space="preserve">Put formula "=Data!F4+1" into cell A283.</t>
        </is>
      </c>
      <c r="C326" s="3" t="inlineStr">
        <is>
          <t xml:space="preserve">OK</t>
        </is>
      </c>
    </row>
    <row r="327">
      <c r="B327" s="1" t="inlineStr">
        <is>
          <t xml:space="preserve">Put formula "=Data!A8+1" into cell A284.</t>
        </is>
      </c>
      <c r="C327" s="3" t="inlineStr">
        <is>
          <t xml:space="preserve">OK</t>
        </is>
      </c>
    </row>
    <row r="328">
      <c r="B328" s="1" t="inlineStr">
        <is>
          <t xml:space="preserve">Put formula "=Data!A7+0" into cell A285.</t>
        </is>
      </c>
      <c r="C328" s="3" t="inlineStr">
        <is>
          <t xml:space="preserve">OK</t>
        </is>
      </c>
    </row>
    <row r="329">
      <c r="B329" s="1" t="inlineStr">
        <is>
          <t xml:space="preserve">Put formula "=-Data!F1" into cell A286.</t>
        </is>
      </c>
      <c r="C329" s="3" t="inlineStr">
        <is>
          <t xml:space="preserve">OK</t>
        </is>
      </c>
    </row>
    <row r="330">
      <c r="B330" s="1" t="inlineStr">
        <is>
          <t xml:space="preserve">Put formula "=Data!F1%" into cell A287.</t>
        </is>
      </c>
      <c r="C330" s="3" t="inlineStr">
        <is>
          <t xml:space="preserve">OK</t>
        </is>
      </c>
    </row>
    <row r="331">
      <c r="B331" s="1" t="inlineStr">
        <is>
          <t xml:space="preserve">Put formula "=""""&amp;Data!F1" into cell A288.</t>
        </is>
      </c>
      <c r="C331" s="3" t="inlineStr">
        <is>
          <t xml:space="preserve">OK</t>
        </is>
      </c>
    </row>
    <row r="332">
      <c r="B332" s="1" t="inlineStr">
        <is>
          <t xml:space="preserve">Put formula "=Data!F1=1000" into cell A289.</t>
        </is>
      </c>
      <c r="C332" s="3" t="inlineStr">
        <is>
          <t xml:space="preserve">OK</t>
        </is>
      </c>
    </row>
    <row r="333">
      <c r="B333" s="1" t="inlineStr">
        <is>
          <t xml:space="preserve">Put formula "=VALUE(Data!F1)" into cell A290.</t>
        </is>
      </c>
      <c r="C333" s="3" t="inlineStr">
        <is>
          <t xml:space="preserve">OK</t>
        </is>
      </c>
    </row>
    <row r="334">
      <c r="B334" s="1" t="inlineStr">
        <is>
          <t xml:space="preserve">Put formula "=DATEVALUE(""1/1/2026"")" into cell A291.</t>
        </is>
      </c>
      <c r="C334" s="3" t="inlineStr">
        <is>
          <t xml:space="preserve">OK</t>
        </is>
      </c>
    </row>
    <row r="335">
      <c r="B335" s="1" t="inlineStr">
        <is>
          <t xml:space="preserve">Put formula "=TIMEVALUE(""12:00"")" into cell A292.</t>
        </is>
      </c>
      <c r="C335" s="3" t="inlineStr">
        <is>
          <t xml:space="preserve">OK</t>
        </is>
      </c>
    </row>
    <row r="336">
      <c r="B336" s="1" t="inlineStr">
        <is>
          <t xml:space="preserve">Put formula "=TODAY()-TODAY()" into cell A293.</t>
        </is>
      </c>
      <c r="C336" s="3" t="inlineStr">
        <is>
          <t xml:space="preserve">OK</t>
        </is>
      </c>
    </row>
    <row r="337">
      <c r="B337" s="1" t="inlineStr">
        <is>
          <t xml:space="preserve">Put formula "=NOW()-NOW()" into cell A294.</t>
        </is>
      </c>
      <c r="C337" s="3" t="inlineStr">
        <is>
          <t xml:space="preserve">OK</t>
        </is>
      </c>
    </row>
    <row r="338">
      <c r="B338" s="1" t="inlineStr">
        <is>
          <t xml:space="preserve">Put formula "=TEXT(DATE(2026,1,1),""dddd, mmmm d, yyyy"")" into cell A295.</t>
        </is>
      </c>
      <c r="C338" s="3" t="inlineStr">
        <is>
          <t xml:space="preserve">OK</t>
        </is>
      </c>
    </row>
    <row r="339">
      <c r="B339" s="1" t="inlineStr">
        <is>
          <t xml:space="preserve">Put formula "=TEXT(TIME(18,5,9),""hh:mm:ss"")" into cell A296.</t>
        </is>
      </c>
      <c r="C339" s="3" t="inlineStr">
        <is>
          <t xml:space="preserve">OK</t>
        </is>
      </c>
    </row>
    <row r="340">
      <c r="B340" s="1" t="inlineStr">
        <is>
          <t xml:space="preserve">Put formula "=TEXT(EOMONTH(Data!A2,0),""yyyy-mm-dd"")" into cell A297.</t>
        </is>
      </c>
      <c r="C340" s="3" t="inlineStr">
        <is>
          <t xml:space="preserve">OK</t>
        </is>
      </c>
    </row>
    <row r="341">
      <c r="B341" s="1" t="inlineStr">
        <is>
          <t xml:space="preserve">Put formula "=DATE(-1,13,1)" into cell A298.</t>
        </is>
      </c>
      <c r="C341" s="3" t="inlineStr">
        <is>
          <t xml:space="preserve">OK</t>
        </is>
      </c>
    </row>
    <row r="342">
      <c r="B342" s="1" t="inlineStr">
        <is>
          <t xml:space="preserve">Put formula "=DATE(1899,13,1)" into cell A299.</t>
        </is>
      </c>
      <c r="C342" s="3" t="inlineStr">
        <is>
          <t xml:space="preserve">OK</t>
        </is>
      </c>
    </row>
    <row r="343">
      <c r="B343" s="1" t="inlineStr">
        <is>
          <t xml:space="preserve">Put formula "=YEAR(-0.000001)" into cell A300.</t>
        </is>
      </c>
      <c r="C343" s="3" t="inlineStr">
        <is>
          <t xml:space="preserve">OK</t>
        </is>
      </c>
    </row>
    <row r="344">
      <c r="B344" s="1" t="inlineStr">
        <is>
          <t xml:space="preserve">Put formula "=HOUR(-0.000001)" into cell A301.</t>
        </is>
      </c>
      <c r="C344" s="3" t="inlineStr">
        <is>
          <t xml:space="preserve">OK</t>
        </is>
      </c>
    </row>
    <row r="345">
      <c r="B345" s="1" t="inlineStr">
        <is>
          <t xml:space="preserve">Put formula "=WEEKDAY(45658.99999999)" into cell A302.</t>
        </is>
      </c>
      <c r="C345" s="3" t="inlineStr">
        <is>
          <t xml:space="preserve">OK</t>
        </is>
      </c>
    </row>
    <row r="346">
      <c r="B346" s="1" t="inlineStr">
        <is>
          <t xml:space="preserve">Put formula "=EOMONTH(45688.99999999,0)" into cell A303.</t>
        </is>
      </c>
      <c r="C346" s="3" t="inlineStr">
        <is>
          <t xml:space="preserve">OK</t>
        </is>
      </c>
    </row>
    <row r="347">
      <c r="B347" s="1" t="inlineStr">
        <is>
          <t xml:space="preserve">Put formula "=EDATE(45658.99999999,0)" into cell A304.</t>
        </is>
      </c>
      <c r="C347" s="3" t="inlineStr">
        <is>
          <t xml:space="preserve">OK</t>
        </is>
      </c>
    </row>
    <row r="348">
      <c r="B348" s="1" t="inlineStr">
        <is>
          <t xml:space="preserve">Put formula "=DAYS(45658.99999999,45658)" into cell A305.</t>
        </is>
      </c>
      <c r="C348" s="3" t="inlineStr">
        <is>
          <t xml:space="preserve">OK</t>
        </is>
      </c>
    </row>
    <row r="349">
      <c r="B349" s="1" t="inlineStr">
        <is>
          <t xml:space="preserve">Put formula "=NETWORKDAYS(45658.99999999,45659)" into cell A306.</t>
        </is>
      </c>
      <c r="C349" s="3" t="inlineStr">
        <is>
          <t xml:space="preserve">OK</t>
        </is>
      </c>
    </row>
    <row r="350">
      <c r="B350" s="1" t="inlineStr">
        <is>
          <t xml:space="preserve">Put formula "=NETWORKDAYS(45659,45660,45658.99999999)" into cell A307.</t>
        </is>
      </c>
      <c r="C350" s="3" t="inlineStr">
        <is>
          <t xml:space="preserve">OK</t>
        </is>
      </c>
    </row>
    <row r="351">
      <c r="B351" s="1" t="inlineStr">
        <is>
          <t xml:space="preserve">Put formula "=WORKDAY(45658.99999999,0)" into cell A308.</t>
        </is>
      </c>
      <c r="C351" s="3" t="inlineStr">
        <is>
          <t xml:space="preserve">OK</t>
        </is>
      </c>
    </row>
    <row r="352">
      <c r="B352" s="1" t="inlineStr">
        <is>
          <t xml:space="preserve">Put formula "=DATEDIF(45658,45658.99999999,""D"")" into cell A309.</t>
        </is>
      </c>
      <c r="C352" s="3" t="inlineStr">
        <is>
          <t xml:space="preserve">OK</t>
        </is>
      </c>
    </row>
    <row r="353">
      <c r="B353" s="1" t="inlineStr">
        <is>
          <t xml:space="preserve">Put formula "=YEARFRAC(45658,45658.99999999,3)" into cell A310.</t>
        </is>
      </c>
      <c r="C353" s="3" t="inlineStr">
        <is>
          <t xml:space="preserve">OK</t>
        </is>
      </c>
    </row>
    <row r="354">
      <c r="B354" s="1" t="inlineStr">
        <is>
          <t xml:space="preserve">Put formula "=WEEKNUM(45661.99999999)" into cell A311.</t>
        </is>
      </c>
      <c r="C354" s="3" t="inlineStr">
        <is>
          <t xml:space="preserve">OK</t>
        </is>
      </c>
    </row>
    <row r="355">
      <c r="B355" s="1" t="inlineStr">
        <is>
          <t xml:space="preserve">Put formula "=TEXT(45658.99999999,""d"")" into cell A312.</t>
        </is>
      </c>
      <c r="C355" s="3" t="inlineStr">
        <is>
          <t xml:space="preserve">OK</t>
        </is>
      </c>
    </row>
    <row r="356">
      <c r="B356" s="1" t="inlineStr">
        <is>
          <t xml:space="preserve">Put formula "=TIME(1,-0.5,0)" into cell A313.</t>
        </is>
      </c>
      <c r="C356" s="3" t="inlineStr">
        <is>
          <t xml:space="preserve">OK</t>
        </is>
      </c>
    </row>
    <row r="357">
      <c r="B357" s="1" t="inlineStr">
        <is>
          <t xml:space="preserve">Put formula "=TIME(-0.5,60,0)" into cell A314.</t>
        </is>
      </c>
      <c r="C357" s="3" t="inlineStr">
        <is>
          <t xml:space="preserve">OK</t>
        </is>
      </c>
    </row>
    <row r="358">
      <c r="B358" s="1" t="inlineStr">
        <is>
          <t xml:space="preserve">Put formula "=EDATE(60,0)" into cell A315.</t>
        </is>
      </c>
      <c r="C358" s="3" t="inlineStr">
        <is>
          <t xml:space="preserve">OK</t>
        </is>
      </c>
    </row>
    <row r="359">
      <c r="B359" s="1" t="inlineStr">
        <is>
          <t xml:space="preserve">Put formula "=DATEDIF(DATE(2020,2,29),DATE(2022,2,28),""YD"")" into cell A316.</t>
        </is>
      </c>
      <c r="C359" s="3" t="inlineStr">
        <is>
          <t xml:space="preserve">OK</t>
        </is>
      </c>
    </row>
    <row r="360">
      <c r="B360" s="1" t="inlineStr">
        <is>
          <t xml:space="preserve">Put formula "=DATEDIF(DATE(2019,2,28),DATE(2020,2,29),""YD"")" into cell A317.</t>
        </is>
      </c>
      <c r="C360" s="3" t="inlineStr">
        <is>
          <t xml:space="preserve">OK</t>
        </is>
      </c>
    </row>
    <row r="361">
      <c r="B361" s="1" t="inlineStr">
        <is>
          <t xml:space="preserve">Put formula "=DATEDIF(DATE(2020,2,29),DATE(2021,2,28),""MD"")" into cell A318.</t>
        </is>
      </c>
      <c r="C361" s="3" t="inlineStr">
        <is>
          <t xml:space="preserve">OK</t>
        </is>
      </c>
    </row>
    <row r="362">
      <c r="B362" s="1" t="inlineStr">
        <is>
          <t xml:space="preserve">Put formula "=YEARFRAC(DATE(1900,2,28),DATE(1900,3,31),0)" into cell A319.</t>
        </is>
      </c>
      <c r="C362" s="3" t="inlineStr">
        <is>
          <t xml:space="preserve">OK</t>
        </is>
      </c>
    </row>
    <row r="363">
      <c r="B363" s="1" t="inlineStr">
        <is>
          <t xml:space="preserve">Put formula "=YEARFRAC(60,DATE(1900,3,31),0)" into cell A320.</t>
        </is>
      </c>
      <c r="C363" s="3" t="inlineStr">
        <is>
          <t xml:space="preserve">OK</t>
        </is>
      </c>
    </row>
    <row r="364">
      <c r="B364" s="1" t="inlineStr">
        <is>
          <t xml:space="preserve">Put formula "=YEARFRAC(DATE(1900,1,1),DATE(1902,1,2),1)" into cell A321.</t>
        </is>
      </c>
      <c r="C364" s="3" t="inlineStr">
        <is>
          <t xml:space="preserve">OK</t>
        </is>
      </c>
    </row>
    <row r="365">
      <c r="B365" s="1" t="inlineStr">
        <is>
          <t xml:space="preserve">Put formula "=YEARFRAC(Data!A2,Data!A1,-0.5)" into cell A322.</t>
        </is>
      </c>
      <c r="C365" s="3" t="inlineStr">
        <is>
          <t xml:space="preserve">OK</t>
        </is>
      </c>
    </row>
    <row r="366">
      <c r="B366" s="1" t="inlineStr">
        <is>
          <t xml:space="preserve">Put formula "=WEEKNUM(DATE(2021,1,3),0)" into cell A323.</t>
        </is>
      </c>
      <c r="C366" s="3" t="inlineStr">
        <is>
          <t xml:space="preserve">OK</t>
        </is>
      </c>
    </row>
    <row r="367">
      <c r="B367" s="1" t="inlineStr">
        <is>
          <t xml:space="preserve">Put formula "=WEEKNUM(DATE(2021,1,3),4)" into cell A324.</t>
        </is>
      </c>
      <c r="C367" s="3" t="inlineStr">
        <is>
          <t xml:space="preserve">OK</t>
        </is>
      </c>
    </row>
    <row r="368">
      <c r="B368" s="1" t="inlineStr">
        <is>
          <t xml:space="preserve">Put formula "=WEEKNUM(DATE(2021,1,3),10)" into cell A325.</t>
        </is>
      </c>
      <c r="C368" s="3" t="inlineStr">
        <is>
          <t xml:space="preserve">OK</t>
        </is>
      </c>
    </row>
    <row r="369">
      <c r="B369" s="1" t="inlineStr">
        <is>
          <t xml:space="preserve">Put formula "=WEEKNUM(DATE(2021,1,3),18)" into cell A326.</t>
        </is>
      </c>
      <c r="C369" s="3" t="inlineStr">
        <is>
          <t xml:space="preserve">OK</t>
        </is>
      </c>
    </row>
    <row r="370">
      <c r="B370" s="1" t="inlineStr">
        <is>
          <t xml:space="preserve">Put formula "=WEEKNUM(DATE(2021,1,3),20)" into cell A327.</t>
        </is>
      </c>
      <c r="C370" s="3" t="inlineStr">
        <is>
          <t xml:space="preserve">OK</t>
        </is>
      </c>
    </row>
    <row r="371">
      <c r="B371" s="1" t="inlineStr">
        <is>
          <t xml:space="preserve">Put formula "=WEEKNUM(DATE(2021,1,3),28)" into cell A328.</t>
        </is>
      </c>
      <c r="C371" s="3" t="inlineStr">
        <is>
          <t xml:space="preserve">OK</t>
        </is>
      </c>
    </row>
    <row r="372">
      <c r="B372" s="1" t="inlineStr">
        <is>
          <t xml:space="preserve">Put formula "=WEEKNUM(DATE(2021,1,3),30)" into cell A329.</t>
        </is>
      </c>
      <c r="C372" s="3" t="inlineStr">
        <is>
          <t xml:space="preserve">OK</t>
        </is>
      </c>
    </row>
    <row r="373">
      <c r="B373" s="1" t="inlineStr">
        <is>
          <t xml:space="preserve">Put formula "=WEEKNUM(DATE(2021,1,3),150)" into cell A330.</t>
        </is>
      </c>
      <c r="C373" s="3" t="inlineStr">
        <is>
          <t xml:space="preserve">OK</t>
        </is>
      </c>
    </row>
    <row r="374">
      <c r="B374" s="1" t="inlineStr">
        <is>
          <t xml:space="preserve">Put formula "=WEEKNUM(DATE(2021,1,1),22)" into cell A331.</t>
        </is>
      </c>
      <c r="C374" s="3" t="inlineStr">
        <is>
          <t xml:space="preserve">OK</t>
        </is>
      </c>
    </row>
    <row r="375">
      <c r="B375" s="1" t="inlineStr">
        <is>
          <t xml:space="preserve">Put formula "=WEEKNUM(DATE(2021,1,3),22)" into cell A332.</t>
        </is>
      </c>
      <c r="C375" s="3" t="inlineStr">
        <is>
          <t xml:space="preserve">OK</t>
        </is>
      </c>
    </row>
    <row r="376">
      <c r="B376" s="1" t="inlineStr">
        <is>
          <t xml:space="preserve">Put formula "=WEEKNUM(DATE(2022,1,1),22)" into cell A333.</t>
        </is>
      </c>
      <c r="C376" s="3" t="inlineStr">
        <is>
          <t xml:space="preserve">OK</t>
        </is>
      </c>
    </row>
    <row r="377">
      <c r="B377" s="1" t="inlineStr">
        <is>
          <t xml:space="preserve">Put formula "=WEEKNUM(DATE(2021,1,1),23)" into cell A334.</t>
        </is>
      </c>
      <c r="C377" s="3" t="inlineStr">
        <is>
          <t xml:space="preserve">OK</t>
        </is>
      </c>
    </row>
    <row r="378">
      <c r="B378" s="1" t="inlineStr">
        <is>
          <t xml:space="preserve">Put formula "=WEEKNUM(DATE(2021,1,3),23)" into cell A335.</t>
        </is>
      </c>
      <c r="C378" s="3" t="inlineStr">
        <is>
          <t xml:space="preserve">OK</t>
        </is>
      </c>
    </row>
    <row r="379">
      <c r="B379" s="1" t="inlineStr">
        <is>
          <t xml:space="preserve">Put formula "=WEEKNUM(DATE(2022,1,1),23)" into cell A336.</t>
        </is>
      </c>
      <c r="C379" s="3" t="inlineStr">
        <is>
          <t xml:space="preserve">OK</t>
        </is>
      </c>
    </row>
    <row r="380">
      <c r="B380" s="1" t="inlineStr">
        <is>
          <t xml:space="preserve">Put formula "=WEEKNUM(DATE(2021,1,1),24)" into cell A337.</t>
        </is>
      </c>
      <c r="C380" s="3" t="inlineStr">
        <is>
          <t xml:space="preserve">OK</t>
        </is>
      </c>
    </row>
    <row r="381">
      <c r="B381" s="1" t="inlineStr">
        <is>
          <t xml:space="preserve">Put formula "=WEEKNUM(DATE(2021,1,3),24)" into cell A338.</t>
        </is>
      </c>
      <c r="C381" s="3" t="inlineStr">
        <is>
          <t xml:space="preserve">OK</t>
        </is>
      </c>
    </row>
    <row r="382">
      <c r="B382" s="1" t="inlineStr">
        <is>
          <t xml:space="preserve">Put formula "=WEEKNUM(DATE(2022,1,1),24)" into cell A339.</t>
        </is>
      </c>
      <c r="C382" s="3" t="inlineStr">
        <is>
          <t xml:space="preserve">OK</t>
        </is>
      </c>
    </row>
    <row r="383">
      <c r="B383" s="1" t="inlineStr">
        <is>
          <t xml:space="preserve">Put formula "=WEEKNUM(DATE(2021,1,1),25)" into cell A340.</t>
        </is>
      </c>
      <c r="C383" s="3" t="inlineStr">
        <is>
          <t xml:space="preserve">OK</t>
        </is>
      </c>
    </row>
    <row r="384">
      <c r="B384" s="1" t="inlineStr">
        <is>
          <t xml:space="preserve">Put formula "=WEEKNUM(DATE(2021,1,3),25)" into cell A341.</t>
        </is>
      </c>
      <c r="C384" s="3" t="inlineStr">
        <is>
          <t xml:space="preserve">OK</t>
        </is>
      </c>
    </row>
    <row r="385">
      <c r="B385" s="1" t="inlineStr">
        <is>
          <t xml:space="preserve">Put formula "=WEEKNUM(DATE(2022,1,1),25)" into cell A342.</t>
        </is>
      </c>
      <c r="C385" s="3" t="inlineStr">
        <is>
          <t xml:space="preserve">OK</t>
        </is>
      </c>
    </row>
    <row r="386">
      <c r="B386" s="1" t="inlineStr">
        <is>
          <t xml:space="preserve">Put formula "=WEEKNUM(DATE(2021,1,1),26)" into cell A343.</t>
        </is>
      </c>
      <c r="C386" s="3" t="inlineStr">
        <is>
          <t xml:space="preserve">OK</t>
        </is>
      </c>
    </row>
    <row r="387">
      <c r="B387" s="1" t="inlineStr">
        <is>
          <t xml:space="preserve">Put formula "=WEEKNUM(DATE(2021,1,3),26)" into cell A344.</t>
        </is>
      </c>
      <c r="C387" s="3" t="inlineStr">
        <is>
          <t xml:space="preserve">OK</t>
        </is>
      </c>
    </row>
    <row r="388">
      <c r="B388" s="1" t="inlineStr">
        <is>
          <t xml:space="preserve">Put formula "=WEEKNUM(DATE(2022,1,1),26)" into cell A345.</t>
        </is>
      </c>
      <c r="C388" s="3" t="inlineStr">
        <is>
          <t xml:space="preserve">OK</t>
        </is>
      </c>
    </row>
    <row r="389">
      <c r="B389" s="1" t="inlineStr">
        <is>
          <t xml:space="preserve">Put formula "=WEEKNUM(DATE(2021,1,1),27)" into cell A346.</t>
        </is>
      </c>
      <c r="C389" s="3" t="inlineStr">
        <is>
          <t xml:space="preserve">OK</t>
        </is>
      </c>
    </row>
    <row r="390">
      <c r="B390" s="1" t="inlineStr">
        <is>
          <t xml:space="preserve">Put formula "=WEEKNUM(DATE(2021,1,3),27)" into cell A347.</t>
        </is>
      </c>
      <c r="C390" s="3" t="inlineStr">
        <is>
          <t xml:space="preserve">OK</t>
        </is>
      </c>
    </row>
    <row r="391">
      <c r="B391" s="1" t="inlineStr">
        <is>
          <t xml:space="preserve">Put formula "=WEEKNUM(DATE(2022,1,1),27)" into cell A348.</t>
        </is>
      </c>
      <c r="C391" s="3" t="inlineStr">
        <is>
          <t xml:space="preserve">OK</t>
        </is>
      </c>
    </row>
    <row r="392">
      <c r="B392" s="1" t="inlineStr">
        <is>
          <t xml:space="preserve">Put formula "=DATEDIF(DATE(2018,12,31),DATE(2019,1,1),""YD"")" into cell A349.</t>
        </is>
      </c>
      <c r="C392" s="3" t="inlineStr">
        <is>
          <t xml:space="preserve">OK</t>
        </is>
      </c>
    </row>
    <row r="393">
      <c r="B393" s="1" t="inlineStr">
        <is>
          <t xml:space="preserve">Put formula "=DATEDIF(DATE(2001,6,1),DATE(2003,5,1),""YD"")" into cell A350.</t>
        </is>
      </c>
      <c r="C393" s="3" t="inlineStr">
        <is>
          <t xml:space="preserve">OK</t>
        </is>
      </c>
    </row>
    <row r="394">
      <c r="B394" s="1" t="inlineStr">
        <is>
          <t xml:space="preserve">Put formula "=DATEDIF(DATE(2019,3,1),DATE(2021,2,28),""YD"")" into cell A351.</t>
        </is>
      </c>
      <c r="C394" s="3" t="inlineStr">
        <is>
          <t xml:space="preserve">OK</t>
        </is>
      </c>
    </row>
    <row r="395">
      <c r="B395" s="1" t="inlineStr">
        <is>
          <t xml:space="preserve">Put formula "=DATEDIF(DATE(2020,2,29),DATE(2023,2,28),""YD"")" into cell A352.</t>
        </is>
      </c>
      <c r="C395" s="3" t="inlineStr">
        <is>
          <t xml:space="preserve">OK</t>
        </is>
      </c>
    </row>
    <row r="396">
      <c r="B396" s="1" t="inlineStr">
        <is>
          <t xml:space="preserve">Put formula "=DATEDIF(DATE(2016,2,29),DATE(2018,1,15),""YD"")" into cell A353.</t>
        </is>
      </c>
      <c r="C396" s="3" t="inlineStr">
        <is>
          <t xml:space="preserve">OK</t>
        </is>
      </c>
    </row>
    <row r="397">
      <c r="B397" s="1" t="inlineStr">
        <is>
          <t xml:space="preserve">Put formula "=DATEDIF(DATE(1988,6,22),DATE(2012,5,11),""YD"")" into cell A354.</t>
        </is>
      </c>
      <c r="C397" s="3" t="inlineStr">
        <is>
          <t xml:space="preserve">OK</t>
        </is>
      </c>
    </row>
    <row r="398">
      <c r="B398" s="1" t="inlineStr">
        <is>
          <t xml:space="preserve">Put formula "=DATEDIF(DATE(2020,2,29),DATE(2023,3,1),""YD"")" into cell A355.</t>
        </is>
      </c>
      <c r="C398" s="3" t="inlineStr">
        <is>
          <t xml:space="preserve">OK</t>
        </is>
      </c>
    </row>
    <row r="399">
      <c r="B399" s="1" t="inlineStr">
        <is>
          <t xml:space="preserve">Put formula "=DATE(10000,-11,1)" into cell A356.</t>
        </is>
      </c>
      <c r="C399" s="3" t="inlineStr">
        <is>
          <t xml:space="preserve">OK</t>
        </is>
      </c>
    </row>
    <row r="400">
      <c r="B400" s="1" t="inlineStr">
        <is>
          <t xml:space="preserve">Put formula "=DATE(10000,-11,1)" into cell A357.</t>
        </is>
      </c>
      <c r="C400" s="3" t="inlineStr">
        <is>
          <t xml:space="preserve">OK</t>
        </is>
      </c>
    </row>
    <row r="401">
      <c r="B401" s="1" t="inlineStr">
        <is>
          <t xml:space="preserve">Put formula "=WEEKNUM(Data!A1,22)" into cell A358.</t>
        </is>
      </c>
      <c r="C401" s="3" t="inlineStr">
        <is>
          <t xml:space="preserve">OK</t>
        </is>
      </c>
    </row>
    <row r="402">
      <c r="B402" s="1" t="inlineStr">
        <is>
          <t xml:space="preserve">Put formula "=WEEKNUM(Data!A1,22)" into cell A359.</t>
        </is>
      </c>
      <c r="C402" s="3" t="inlineStr">
        <is>
          <t xml:space="preserve">OK</t>
        </is>
      </c>
    </row>
    <row r="403">
      <c r="B403" s="1" t="inlineStr">
        <is>
          <t xml:space="preserve">Put formula "=DATEDIF(DATE(2019,1,31),DATE(2020,3,31),""YD"")" into cell A360.</t>
        </is>
      </c>
      <c r="C403" s="3" t="inlineStr">
        <is>
          <t xml:space="preserve">OK</t>
        </is>
      </c>
    </row>
    <row r="404">
      <c r="B404" s="1" t="inlineStr">
        <is>
          <t xml:space="preserve">Put formula "=DATEDIF(DATE(2007,1,1),DATE(2008,3,1),""YD"")" into cell A361.</t>
        </is>
      </c>
      <c r="C404" s="3" t="inlineStr">
        <is>
          <t xml:space="preserve">OK</t>
        </is>
      </c>
    </row>
    <row r="405">
      <c r="B405" s="1" t="inlineStr">
        <is>
          <t xml:space="preserve">Put formula "=DATEDIF(DATE(2019,6,1),DATE(2021,5,1),""YD"")" into cell A362.</t>
        </is>
      </c>
      <c r="C405" s="3" t="inlineStr">
        <is>
          <t xml:space="preserve">OK</t>
        </is>
      </c>
    </row>
    <row r="406">
      <c r="B406" s="1" t="inlineStr">
        <is>
          <t xml:space="preserve">Put formula "=DATEDIF(DATE(2020,6,1),DATE(2024,5,1),""YD"")" into cell A363.</t>
        </is>
      </c>
      <c r="C406" s="3" t="inlineStr">
        <is>
          <t xml:space="preserve">OK</t>
        </is>
      </c>
    </row>
    <row r="407">
      <c r="B407" s="1" t="inlineStr">
        <is>
          <t xml:space="preserve">Put formula "=DATEDIF(DATE(2019,1,15),DATE(2021,1,10),""YD"")" into cell A364.</t>
        </is>
      </c>
      <c r="C407" s="3" t="inlineStr">
        <is>
          <t xml:space="preserve">OK</t>
        </is>
      </c>
    </row>
    <row r="409">
      <c r="B409" s="1" t="inlineStr">
        <is>
          <t xml:space="preserve">Work on sheet Calendar.</t>
        </is>
      </c>
      <c r="C409" s="3" t="inlineStr">
        <is>
          <t xml:space="preserve">OK</t>
        </is>
      </c>
    </row>
    <row r="410">
      <c r="B410" s="1" t="inlineStr">
        <is>
          <t xml:space="preserve">Put formula "=DATE(1899+ROW(),1,1)" into range A1:A202.</t>
        </is>
      </c>
      <c r="C410" s="3" t="inlineStr">
        <is>
          <t xml:space="preserve">OK</t>
        </is>
      </c>
    </row>
    <row r="411">
      <c r="B411" s="1" t="inlineStr">
        <is>
          <t xml:space="preserve">Put formula "=DAY(EOMONTH(A1,1))" into range B1:B202.</t>
        </is>
      </c>
      <c r="C411" s="3" t="inlineStr">
        <is>
          <t xml:space="preserve">OK</t>
        </is>
      </c>
    </row>
    <row r="412">
      <c r="B412" s="1" t="inlineStr">
        <is>
          <t xml:space="preserve">Put formula "=WEEKDAY(A1)*100+WEEKNUM(A1,21)" into range C1:C202.</t>
        </is>
      </c>
      <c r="C412" s="3" t="inlineStr">
        <is>
          <t xml:space="preserve">OK</t>
        </is>
      </c>
    </row>
    <row r="413">
      <c r="B413" s="1" t="inlineStr">
        <is>
          <t xml:space="preserve">Put formula "=YEAR(A1-1)*10000+MONTH(A1-1)*100+DAY(A1-1)" into range D1:D202.</t>
        </is>
      </c>
      <c r="C413" s="3" t="inlineStr">
        <is>
          <t xml:space="preserve">OK</t>
        </is>
      </c>
    </row>
    <row r="414">
      <c r="B414" s="1" t="inlineStr">
        <is>
          <t xml:space="preserve">Put formula "=WEEKNUM(DATE(1899+ROW(),12,31),21)" into range E1:E202.</t>
        </is>
      </c>
      <c r="C414" s="3" t="inlineStr">
        <is>
          <t xml:space="preserve">OK</t>
        </is>
      </c>
    </row>
  </sheetData>
</worksheet>
</file>

<file path=xl/worksheets/frazaro_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A1" sqref="A1"/>
    </sheetView>
  </sheetViews>
  <sheetFormatPr defaultRowHeight="15"/>
  <sheetData>
    <row r="1">
      <c r="A1" s="0">
        <v>46023</v>
      </c>
      <c r="B1" s="0">
        <v>46027</v>
      </c>
      <c r="C1" s="0">
        <v>46027</v>
      </c>
      <c r="D1" s="0">
        <v>46027</v>
      </c>
      <c r="E1" s="0">
        <v>46027</v>
      </c>
      <c r="F1" s="0" t="inlineStr">
        <is>
          <t xml:space="preserve">1,000</t>
        </is>
      </c>
    </row>
    <row r="2">
      <c r="A2" s="0">
        <v>45351</v>
      </c>
      <c r="B2" s="0">
        <v>46028</v>
      </c>
      <c r="C2" s="0" t="inlineStr">
        <is>
          <t xml:space="preserve">46028</t>
        </is>
      </c>
      <c r="D2" s="0" t="b">
        <f>TRUE</f>
        <v>1</v>
      </c>
      <c r="E2" s="0" t="inlineStr">
        <is>
          <t xml:space="preserve">1/6/2026</t>
        </is>
      </c>
      <c r="F2" s="0" t="inlineStr">
        <is>
          <t xml:space="preserve">$5</t>
        </is>
      </c>
    </row>
    <row r="3">
      <c r="A3" s="0">
        <v>60</v>
      </c>
      <c r="B3" s="0">
        <v>46027</v>
      </c>
      <c r="F3" s="0" t="inlineStr">
        <is>
          <t xml:space="preserve">12abc</t>
        </is>
      </c>
    </row>
    <row r="4">
      <c r="A4" s="0">
        <v>0</v>
      </c>
      <c r="B4" s="0">
        <v>46032</v>
      </c>
      <c r="F4" s="0" t="inlineStr">
        <is>
          <t xml:space="preserve">5</t>
        </is>
      </c>
    </row>
    <row r="5">
      <c r="A5" s="0">
        <v>46023.75</v>
      </c>
    </row>
    <row r="6">
      <c r="A6" s="0" t="b">
        <f>TRUE</f>
        <v>1</v>
      </c>
      <c r="B6" s="0">
        <v>46100</v>
      </c>
    </row>
    <row r="7">
      <c r="A7" s="0" t="inlineStr">
        <is>
          <t xml:space="preserve">1/1/2026</t>
        </is>
      </c>
    </row>
    <row r="8">
      <c r="A8" s="0" t="inlineStr">
        <is>
          <t xml:space="preserve">abc</t>
        </is>
      </c>
    </row>
    <row r="9">
      <c r="A9" s="0" t="e">
        <f>1/0</f>
        <v>#DIV/0!</v>
      </c>
    </row>
    <row r="10">
      <c r="A10" s="0" t="inlineStr">
        <is>
          <t xml:space="preserve">46023</t>
        </is>
      </c>
    </row>
    <row r="11">
      <c r="A11" s="0">
        <v>2958465</v>
      </c>
    </row>
    <row r="12">
      <c r="A12" s="0">
        <v>45658.999999</v>
      </c>
    </row>
  </sheetData>
</worksheet>
</file>

<file path=xl/worksheets/frazaro_3.xml><?xml version="1.0" encoding="utf-8"?>
<worksheet xmlns="http://schemas.openxmlformats.org/spreadsheetml/2006/main" xmlns:r="http://schemas.openxmlformats.org/officeDocument/2006/relationships">
  <dimension ref="A1:A364"/>
  <sheetViews>
    <sheetView workbookViewId="0">
      <selection activeCell="A1" sqref="A1"/>
    </sheetView>
  </sheetViews>
  <sheetFormatPr defaultRowHeight="15"/>
  <sheetData>
    <row r="1">
      <c r="A1" s="0">
        <f>DATE(2026,1,1)</f>
        <v>46023</v>
      </c>
    </row>
    <row r="2">
      <c r="A2" s="0">
        <f>DATE(1900,1,1)</f>
        <v>1</v>
      </c>
    </row>
    <row r="3">
      <c r="A3" s="0">
        <f>DATE(1900,1,0)</f>
        <v>0</v>
      </c>
    </row>
    <row r="4">
      <c r="A4" s="0">
        <f>DATE(1900,2,28)</f>
        <v>59</v>
      </c>
    </row>
    <row r="5">
      <c r="A5" s="0">
        <f>DATE(1900,2,29)</f>
        <v>60</v>
      </c>
    </row>
    <row r="6">
      <c r="A6" s="0">
        <f>DATE(1900,2,30)</f>
        <v>61</v>
      </c>
    </row>
    <row r="7">
      <c r="A7" s="0">
        <f>DATE(1900,3,0)</f>
        <v>60</v>
      </c>
    </row>
    <row r="8">
      <c r="A8" s="0">
        <f>DATE(1900,3,1)</f>
        <v>61</v>
      </c>
    </row>
    <row r="9">
      <c r="A9" s="0" t="e">
        <f>DATE(1900,0,31)</f>
        <v>#NUM!</v>
      </c>
    </row>
    <row r="10">
      <c r="A10" s="0" t="e">
        <f>DATE(1900,1,-1)</f>
        <v>#NUM!</v>
      </c>
    </row>
    <row r="11">
      <c r="A11" s="0">
        <f>DATE(108,1,2)</f>
        <v>39449</v>
      </c>
    </row>
    <row r="12">
      <c r="A12" s="0">
        <f>DATE(1,1,1)</f>
        <v>367</v>
      </c>
    </row>
    <row r="13">
      <c r="A13" s="0">
        <f>DATE(1899,12,31)</f>
        <v>693962</v>
      </c>
    </row>
    <row r="14">
      <c r="A14" s="0">
        <f>DATE(2008,14,2)</f>
        <v>39846</v>
      </c>
    </row>
    <row r="15">
      <c r="A15" s="0">
        <f>DATE(2008,-3,2)</f>
        <v>39327</v>
      </c>
    </row>
    <row r="16">
      <c r="A16" s="0">
        <f>DATE(2008,1,35)</f>
        <v>39482</v>
      </c>
    </row>
    <row r="17">
      <c r="A17" s="0">
        <f>DATE(2008,1,-15)</f>
        <v>39432</v>
      </c>
    </row>
    <row r="18">
      <c r="A18" s="0" t="e">
        <f>DATE(-1,1,1)</f>
        <v>#NUM!</v>
      </c>
    </row>
    <row r="19">
      <c r="A19" s="0" t="e">
        <f>DATE(10000,1,1)</f>
        <v>#NUM!</v>
      </c>
    </row>
    <row r="20">
      <c r="A20" s="0">
        <f>DATE(10000,-11,1)</f>
      </c>
    </row>
    <row r="21">
      <c r="A21" s="0">
        <f>DATE(9999,12,31)</f>
        <v>2958465</v>
      </c>
    </row>
    <row r="22">
      <c r="A22" s="0" t="e">
        <f>DATE(9999,12,32)</f>
        <v>#NUM!</v>
      </c>
    </row>
    <row r="23">
      <c r="A23" s="0" t="e">
        <f>DATE(9999,13,-31)</f>
        <v>#NUM!</v>
      </c>
    </row>
    <row r="24">
      <c r="A24" s="0">
        <f>DATE(2026.9,1.9,1.9)</f>
        <v>46023</v>
      </c>
    </row>
    <row r="25">
      <c r="A25" s="0">
        <f>DATE(2026,1,-0.5)</f>
        <v>46021</v>
      </c>
    </row>
    <row r="26">
      <c r="A26" s="0">
        <f>DATE(2026,-0.5,1)</f>
        <v>45962</v>
      </c>
    </row>
    <row r="27">
      <c r="A27" s="0" t="e">
        <f>DATE(-0.5,1,1)</f>
        <v>#NUM!</v>
      </c>
    </row>
    <row r="28">
      <c r="A28" s="0">
        <f>DATE(1899.9,1,1)</f>
        <v>693598</v>
      </c>
    </row>
    <row r="29">
      <c r="A29" s="0">
        <f>DATE("2026",1,1)</f>
        <v>46023</v>
      </c>
    </row>
    <row r="30">
      <c r="A30" s="0">
        <f>DATE(TRUE,1,1)</f>
        <v>367</v>
      </c>
    </row>
    <row r="31">
      <c r="A31" s="0" t="e">
        <f>DATE(Data!A9,1,1)</f>
        <v>#DIV/0!</v>
      </c>
    </row>
    <row r="32">
      <c r="A32" s="0">
        <f>DATE(2026,1,Data!F1)</f>
      </c>
    </row>
    <row r="33">
      <c r="A33" s="0">
        <f>YEAR(Data!A1)</f>
        <v>2026</v>
      </c>
    </row>
    <row r="34">
      <c r="A34" s="0">
        <f>MONTH(Data!A1)</f>
        <v>1</v>
      </c>
    </row>
    <row r="35">
      <c r="A35" s="0">
        <f>DAY(Data!A1)</f>
        <v>1</v>
      </c>
    </row>
    <row r="36">
      <c r="A36" s="0">
        <f>YEAR(Data!A2)</f>
        <v>2024</v>
      </c>
    </row>
    <row r="37">
      <c r="A37" s="0">
        <f>MONTH(Data!A2)</f>
        <v>2</v>
      </c>
    </row>
    <row r="38">
      <c r="A38" s="0">
        <f>DAY(Data!A2)</f>
        <v>29</v>
      </c>
    </row>
    <row r="39">
      <c r="A39" s="0">
        <f>YEAR(Data!A3)</f>
        <v>1900</v>
      </c>
    </row>
    <row r="40">
      <c r="A40" s="0">
        <f>MONTH(Data!A3)</f>
        <v>2</v>
      </c>
    </row>
    <row r="41">
      <c r="A41" s="0">
        <f>DAY(Data!A3)</f>
        <v>29</v>
      </c>
    </row>
    <row r="42">
      <c r="A42" s="0">
        <f>YEAR(Data!A4)</f>
        <v>1900</v>
      </c>
    </row>
    <row r="43">
      <c r="A43" s="0">
        <f>MONTH(Data!A4)</f>
        <v>1</v>
      </c>
    </row>
    <row r="44">
      <c r="A44" s="0">
        <f>DAY(Data!A4)</f>
        <v>0</v>
      </c>
    </row>
    <row r="45">
      <c r="A45" s="0">
        <f>DAY(59)</f>
        <v>28</v>
      </c>
    </row>
    <row r="46">
      <c r="A46" s="0">
        <f>DAY(61)</f>
        <v>1</v>
      </c>
    </row>
    <row r="47">
      <c r="A47" s="0">
        <f>DAY(Data!A5)</f>
        <v>1</v>
      </c>
    </row>
    <row r="48">
      <c r="A48" s="0">
        <f>YEAR(Data!A6)</f>
        <v>1900</v>
      </c>
    </row>
    <row r="49">
      <c r="A49" s="0">
        <f>YEAR(Data!A7)</f>
      </c>
    </row>
    <row r="50">
      <c r="A50" s="0" t="e">
        <f>YEAR(Data!A8)</f>
        <v>#VALUE!</v>
      </c>
    </row>
    <row r="51">
      <c r="A51" s="0" t="e">
        <f>YEAR(Data!A9)</f>
        <v>#DIV/0!</v>
      </c>
    </row>
    <row r="52">
      <c r="A52" s="0">
        <f>YEAR(Data!A10)</f>
        <v>2026</v>
      </c>
    </row>
    <row r="53">
      <c r="A53" s="0">
        <f>YEAR(Data!A11)</f>
        <v>9999</v>
      </c>
    </row>
    <row r="54">
      <c r="A54" s="0">
        <f>MONTH(Data!A11)</f>
        <v>12</v>
      </c>
    </row>
    <row r="55">
      <c r="A55" s="0">
        <f>DAY(Data!A11)</f>
        <v>31</v>
      </c>
    </row>
    <row r="56">
      <c r="A56" s="0" t="e">
        <f>YEAR(2958465.9999999)</f>
        <v>#NUM!</v>
      </c>
    </row>
    <row r="57">
      <c r="A57" s="0" t="e">
        <f>YEAR(2958466)</f>
        <v>#NUM!</v>
      </c>
    </row>
    <row r="58">
      <c r="A58" s="0" t="e">
        <f>YEAR(-1)</f>
        <v>#NUM!</v>
      </c>
    </row>
    <row r="59">
      <c r="A59" s="0" t="e">
        <f>YEAR(-0.5)</f>
        <v>#NUM!</v>
      </c>
    </row>
    <row r="60">
      <c r="A60" s="0">
        <f>DAY(Data!A12)</f>
        <v>2</v>
      </c>
    </row>
    <row r="61">
      <c r="A61" s="0">
        <f>DAY(45658.99999999)</f>
        <v>2</v>
      </c>
    </row>
    <row r="62">
      <c r="A62" s="0">
        <f>DAY(45658.9999999999)</f>
        <v>2</v>
      </c>
    </row>
    <row r="63">
      <c r="A63" s="0" t="e">
        <f>YEAR("")</f>
        <v>#VALUE!</v>
      </c>
    </row>
    <row r="64">
      <c r="A64" s="0">
        <f>MONTH(45658.5)</f>
        <v>1</v>
      </c>
    </row>
    <row r="65">
      <c r="A65" s="0">
        <f>DAY(Data!B5)</f>
        <v>0</v>
      </c>
    </row>
    <row r="66">
      <c r="A66" s="0">
        <f>WEEKDAY(Data!A1)</f>
        <v>5</v>
      </c>
    </row>
    <row r="67">
      <c r="A67" s="0">
        <f>WEEKDAY(Data!A1,1)</f>
        <v>5</v>
      </c>
    </row>
    <row r="68">
      <c r="A68" s="0">
        <f>WEEKDAY(Data!A1,2)</f>
        <v>4</v>
      </c>
    </row>
    <row r="69">
      <c r="A69" s="0">
        <f>WEEKDAY(Data!A1,3)</f>
        <v>3</v>
      </c>
    </row>
    <row r="70">
      <c r="A70" s="0">
        <f>WEEKDAY(Data!A1,11)</f>
        <v>4</v>
      </c>
    </row>
    <row r="71">
      <c r="A71" s="0">
        <f>WEEKDAY(Data!A1,12)</f>
        <v>3</v>
      </c>
    </row>
    <row r="72">
      <c r="A72" s="0">
        <f>WEEKDAY(Data!A1,13)</f>
        <v>2</v>
      </c>
    </row>
    <row r="73">
      <c r="A73" s="0">
        <f>WEEKDAY(Data!A1,14)</f>
        <v>1</v>
      </c>
    </row>
    <row r="74">
      <c r="A74" s="0">
        <f>WEEKDAY(Data!A1,15)</f>
        <v>7</v>
      </c>
    </row>
    <row r="75">
      <c r="A75" s="0">
        <f>WEEKDAY(Data!A1,16)</f>
        <v>6</v>
      </c>
    </row>
    <row r="76">
      <c r="A76" s="0">
        <f>WEEKDAY(Data!A1,17)</f>
        <v>5</v>
      </c>
    </row>
    <row r="77">
      <c r="A77" s="0">
        <f>WEEKDAY(Data!A1,1.9)</f>
        <v>5</v>
      </c>
    </row>
    <row r="78">
      <c r="A78" s="0" t="e">
        <f>WEEKDAY(Data!A1,0)</f>
        <v>#NUM!</v>
      </c>
    </row>
    <row r="79">
      <c r="A79" s="0" t="e">
        <f>WEEKDAY(Data!A1,4)</f>
        <v>#NUM!</v>
      </c>
    </row>
    <row r="80">
      <c r="A80" s="0" t="e">
        <f>WEEKDAY(Data!A1,18)</f>
        <v>#NUM!</v>
      </c>
    </row>
    <row r="81">
      <c r="A81" s="0">
        <f>WEEKDAY(0)</f>
        <v>7</v>
      </c>
    </row>
    <row r="82">
      <c r="A82" s="0">
        <f>WEEKDAY(1)</f>
        <v>1</v>
      </c>
    </row>
    <row r="83">
      <c r="A83" s="0">
        <f>WEEKDAY(59)</f>
        <v>3</v>
      </c>
    </row>
    <row r="84">
      <c r="A84" s="0">
        <f>WEEKDAY(60)</f>
        <v>4</v>
      </c>
    </row>
    <row r="85">
      <c r="A85" s="0">
        <f>WEEKDAY(61)</f>
        <v>5</v>
      </c>
    </row>
    <row r="86">
      <c r="A86" s="0">
        <f>WEEKDAY(0,2)</f>
        <v>6</v>
      </c>
    </row>
    <row r="87">
      <c r="A87" s="0">
        <f>WEEKDAY(0,3)</f>
        <v>5</v>
      </c>
    </row>
    <row r="88">
      <c r="A88" s="0" t="e">
        <f>WEEKDAY(-1)</f>
        <v>#NUM!</v>
      </c>
    </row>
    <row r="89">
      <c r="A89" s="0">
        <f>WEEKDAY(Data!A7)</f>
      </c>
    </row>
    <row r="90">
      <c r="A90" s="0">
        <f>EOMONTH(Data!A1,0)</f>
        <v>46053</v>
      </c>
    </row>
    <row r="91">
      <c r="A91" s="0">
        <f>EOMONTH(Data!A1,1)</f>
        <v>46081</v>
      </c>
    </row>
    <row r="92">
      <c r="A92" s="0">
        <f>EOMONTH(Data!A2,-1)</f>
        <v>45322</v>
      </c>
    </row>
    <row r="93">
      <c r="A93" s="0">
        <f>EOMONTH(Data!A2,12)</f>
        <v>45716</v>
      </c>
    </row>
    <row r="94">
      <c r="A94" s="0">
        <f>EOMONTH(Data!A1,1.9)</f>
        <v>46081</v>
      </c>
    </row>
    <row r="95">
      <c r="A95" s="0">
        <f>EOMONTH(Data!A1,-1.9)</f>
        <v>46022</v>
      </c>
    </row>
    <row r="96">
      <c r="A96" s="0">
        <f>EOMONTH(DATE(1900,1,15),1)</f>
        <v>59</v>
      </c>
    </row>
    <row r="97">
      <c r="A97" s="0" t="e">
        <f>EOMONTH(1,-1)</f>
        <v>#NUM!</v>
      </c>
    </row>
    <row r="98">
      <c r="A98" s="0">
        <f>EOMONTH(0,0)</f>
        <v>31</v>
      </c>
    </row>
    <row r="99">
      <c r="A99" s="0">
        <f>EOMONTH(60,0)</f>
        <v>59</v>
      </c>
    </row>
    <row r="100">
      <c r="A100" s="0">
        <f>EOMONTH(DATE(9999,12,1),0)</f>
        <v>2958465</v>
      </c>
    </row>
    <row r="101">
      <c r="A101" s="0" t="e">
        <f>EOMONTH(DATE(9999,12,1),1)</f>
        <v>#NUM!</v>
      </c>
    </row>
    <row r="102">
      <c r="A102" s="0">
        <f>EOMONTH(Data!A1,"1")</f>
        <v>46081</v>
      </c>
    </row>
    <row r="103">
      <c r="A103" s="0">
        <f>EOMONTH(Data!A7,0)</f>
      </c>
    </row>
    <row r="104">
      <c r="A104" s="0">
        <f>EDATE(DATE(2011,1,31),1)</f>
        <v>40602</v>
      </c>
    </row>
    <row r="105">
      <c r="A105" s="0">
        <f>EDATE(Data!A2,12)</f>
        <v>45716</v>
      </c>
    </row>
    <row r="106">
      <c r="A106" s="0">
        <f>EDATE(Data!A2,-12)</f>
        <v>44985</v>
      </c>
    </row>
    <row r="107">
      <c r="A107" s="0">
        <f>EDATE(Data!A2,48)</f>
        <v>46812</v>
      </c>
    </row>
    <row r="108">
      <c r="A108" s="0">
        <f>EDATE(Data!A1,-1.9)</f>
        <v>45992</v>
      </c>
    </row>
    <row r="109">
      <c r="A109" s="0">
        <f>EDATE(Data!A1,1.9)</f>
        <v>46054</v>
      </c>
    </row>
    <row r="110">
      <c r="A110" s="0">
        <f>EDATE(DATE(1900,1,31),1)</f>
        <v>59</v>
      </c>
    </row>
    <row r="111">
      <c r="A111" s="0">
        <f>EDATE(DATE(1900,3,31),-1)</f>
        <v>59</v>
      </c>
    </row>
    <row r="112">
      <c r="A112" s="0" t="e">
        <f>EDATE(31,-1)</f>
        <v>#NUM!</v>
      </c>
    </row>
    <row r="113">
      <c r="A113" s="0">
        <f>EDATE(0,0)</f>
        <v>0</v>
      </c>
    </row>
    <row r="114">
      <c r="A114" s="0">
        <f>EDATE(0,1)</f>
        <v>31</v>
      </c>
    </row>
    <row r="115">
      <c r="A115" s="0">
        <f>EDATE(60,12)</f>
        <v>425</v>
      </c>
    </row>
    <row r="116">
      <c r="A116" s="0">
        <f>EDATE(Data!A5,1)</f>
        <v>46054</v>
      </c>
    </row>
    <row r="117">
      <c r="A117" s="0">
        <f>_xlfn.DAYS(Data!A1,Data!A2)</f>
        <v>672</v>
      </c>
    </row>
    <row r="118">
      <c r="A118" s="0">
        <f>_xlfn.DAYS(Data!A2,Data!A1)</f>
        <v>-672</v>
      </c>
    </row>
    <row r="119">
      <c r="A119" s="0">
        <f>_xlfn.DAYS(Data!A5,Data!A1)</f>
        <v>0</v>
      </c>
    </row>
    <row r="120">
      <c r="A120" s="0">
        <f>_xlfn.DAYS(2.1,1.9)</f>
        <v>1</v>
      </c>
    </row>
    <row r="121">
      <c r="A121" s="0">
        <f>_xlfn.DAYS(1.9,2.1)</f>
        <v>-1</v>
      </c>
    </row>
    <row r="122">
      <c r="A122" s="0">
        <f>_xlfn.DAYS(Data!A1,Data!A7)</f>
      </c>
    </row>
    <row r="123">
      <c r="A123" s="0" t="e">
        <f>_xlfn.DAYS(-1,1)</f>
        <v>#NUM!</v>
      </c>
    </row>
    <row r="124">
      <c r="A124" s="0">
        <f>_xlfn.DAYS(Data!A11,0)</f>
        <v>2958465</v>
      </c>
    </row>
    <row r="125">
      <c r="A125" s="0">
        <f>NETWORKDAYS(Data!A1,Data!A1+13)</f>
        <v>10</v>
      </c>
    </row>
    <row r="126">
      <c r="A126" s="0">
        <f>NETWORKDAYS(Data!A1,Data!A1+13,Data!B1:B6)</f>
        <v>8</v>
      </c>
    </row>
    <row r="127">
      <c r="A127" s="0">
        <f>NETWORKDAYS(Data!A1+13,Data!A1,Data!B1:B6)</f>
        <v>-8</v>
      </c>
    </row>
    <row r="128">
      <c r="A128" s="0">
        <f>NETWORKDAYS(Data!A1+2,Data!A1+3)</f>
        <v>0</v>
      </c>
    </row>
    <row r="129">
      <c r="A129" s="0">
        <f>NETWORKDAYS(Data!A1,Data!A1)</f>
        <v>1</v>
      </c>
    </row>
    <row r="130">
      <c r="A130" s="0">
        <f>NETWORKDAYS(Data!A1+2,Data!A1+2)</f>
        <v>0</v>
      </c>
    </row>
    <row r="131">
      <c r="A131" s="0">
        <f>NETWORKDAYS(Data!A1,Data!A1,Data!A1)</f>
        <v>0</v>
      </c>
    </row>
    <row r="132">
      <c r="A132" s="0">
        <f>NETWORKDAYS(Data!A1,Data!A1+13,46027)</f>
        <v>9</v>
      </c>
    </row>
    <row r="133">
      <c r="A133" s="0">
        <f>NETWORKDAYS(Data!A1,Data!A1+13,Data!C1:C2)</f>
        <v>8</v>
      </c>
    </row>
    <row r="134">
      <c r="A134" s="0" t="e">
        <f>NETWORKDAYS(Data!A1,Data!A1+13,Data!D1:D2)</f>
        <v>#VALUE!</v>
      </c>
    </row>
    <row r="135">
      <c r="A135" s="0">
        <f>NETWORKDAYS(Data!A1,Data!A1+13,Data!E1:E2)</f>
      </c>
    </row>
    <row r="136">
      <c r="A136" s="0" t="e">
        <f>NETWORKDAYS(Data!A1,Data!A1+13,Data!A9)</f>
        <v>#DIV/0!</v>
      </c>
    </row>
    <row r="137">
      <c r="A137" s="0">
        <f>NETWORKDAYS(Data!A1+0.9,Data!A1+13.9)</f>
        <v>10</v>
      </c>
    </row>
    <row r="138">
      <c r="A138" s="0">
        <f>NETWORKDAYS(Data!A1,Data!A1+365)</f>
        <v>262</v>
      </c>
    </row>
    <row r="139">
      <c r="A139" s="0">
        <f>NETWORKDAYS(1,Data!A11)</f>
        <v>2113190</v>
      </c>
    </row>
    <row r="140">
      <c r="A140" s="0">
        <f>NETWORKDAYS(Data!A7,Data!A1)</f>
      </c>
    </row>
    <row r="141">
      <c r="A141" s="0" t="e">
        <f>NETWORKDAYS(-1,Data!A1)</f>
        <v>#NUM!</v>
      </c>
    </row>
    <row r="142">
      <c r="A142" s="0">
        <f>WORKDAY(Data!A1,1)</f>
        <v>46024</v>
      </c>
    </row>
    <row r="143">
      <c r="A143" s="0">
        <f>WORKDAY(Data!A1,2)</f>
        <v>46027</v>
      </c>
    </row>
    <row r="144">
      <c r="A144" s="0">
        <f>WORKDAY(Data!A1,2,Data!B1:B6)</f>
        <v>46029</v>
      </c>
    </row>
    <row r="145">
      <c r="A145" s="0">
        <f>WORKDAY(Data!A1,-1)</f>
        <v>46022</v>
      </c>
    </row>
    <row r="146">
      <c r="A146" s="0">
        <f>WORKDAY(Data!A1,0)</f>
        <v>46023</v>
      </c>
    </row>
    <row r="147">
      <c r="A147" s="0">
        <f>WORKDAY(Data!A1+2,0)</f>
        <v>46025</v>
      </c>
    </row>
    <row r="148">
      <c r="A148" s="0">
        <f>WORKDAY(Data!A1+2,1)</f>
        <v>46027</v>
      </c>
    </row>
    <row r="149">
      <c r="A149" s="0">
        <f>WORKDAY(Data!A1+2,-1)</f>
        <v>46024</v>
      </c>
    </row>
    <row r="150">
      <c r="A150" s="0">
        <f>WORKDAY(Data!A1,1.9)</f>
        <v>46024</v>
      </c>
    </row>
    <row r="151">
      <c r="A151" s="0">
        <f>WORKDAY(Data!A1,-1.9)</f>
        <v>46021</v>
      </c>
    </row>
    <row r="152">
      <c r="A152" s="0">
        <f>WORKDAY(Data!A1,10,Data!B1:B6)</f>
        <v>46041</v>
      </c>
    </row>
    <row r="153">
      <c r="A153" s="0">
        <f>WORKDAY(Data!A1,1000)</f>
        <v>47423</v>
      </c>
    </row>
    <row r="154">
      <c r="A154" s="0">
        <f>WORKDAY(Data!A1,-1000,Data!B1:B6)</f>
        <v>44623</v>
      </c>
    </row>
    <row r="155">
      <c r="A155" s="0">
        <f>WORKDAY(46027,0,Data!B1:B6)</f>
        <v>46027</v>
      </c>
    </row>
    <row r="156">
      <c r="A156" s="0">
        <f>WORKDAY(Data!A1,3,Data!C1:C2)</f>
        <v>46030</v>
      </c>
    </row>
    <row r="157">
      <c r="A157" s="0" t="e">
        <f>WORKDAY(Data!A1,3,Data!A9)</f>
        <v>#DIV/0!</v>
      </c>
    </row>
    <row r="158">
      <c r="A158" s="0" t="e">
        <f>WORKDAY(1,-1)</f>
        <v>#NUM!</v>
      </c>
    </row>
    <row r="159">
      <c r="A159" s="0" t="e">
        <f>WORKDAY(Data!A11,1)</f>
        <v>#NUM!</v>
      </c>
    </row>
    <row r="160">
      <c r="A160" s="0">
        <f>WORKDAY(Data!A1+0.5,1)</f>
        <v>46024</v>
      </c>
    </row>
    <row r="161">
      <c r="A161" s="0">
        <f>TIME(18,0,0)</f>
        <v>0.75</v>
      </c>
    </row>
    <row r="162">
      <c r="A162" s="0">
        <f>TIME(12,30,15)</f>
        <v>0.5210069444444444</v>
      </c>
    </row>
    <row r="163">
      <c r="A163" s="0">
        <f>TIME(24,0,0)</f>
        <v>0</v>
      </c>
    </row>
    <row r="164">
      <c r="A164" s="0">
        <f>TIME(25,0,0)</f>
        <v>0.04166666666666674</v>
      </c>
    </row>
    <row r="165">
      <c r="A165" s="0">
        <f>TIME(23,59,60)</f>
        <v>0</v>
      </c>
    </row>
    <row r="166">
      <c r="A166" s="0">
        <f>TIME(0,90,0)</f>
        <v>0.0625</v>
      </c>
    </row>
    <row r="167">
      <c r="A167" s="0">
        <f>TIME(1,-30,0)</f>
        <v>0.020833333333333332</v>
      </c>
    </row>
    <row r="168">
      <c r="A168" s="0">
        <f>TIME(1,-60,0)</f>
        <v>0</v>
      </c>
    </row>
    <row r="169">
      <c r="A169" s="0" t="e">
        <f>TIME(1,-61,0)</f>
        <v>#NUM!</v>
      </c>
    </row>
    <row r="170">
      <c r="A170" s="0">
        <f>TIME(-1,120,0)</f>
        <v>0.041666666666666664</v>
      </c>
    </row>
    <row r="171">
      <c r="A171" s="0" t="e">
        <f>TIME(0,0,-1)</f>
        <v>#NUM!</v>
      </c>
    </row>
    <row r="172">
      <c r="A172" s="0">
        <f>TIME(0,0,59.9)</f>
        <v>0.0006828703703703704</v>
      </c>
    </row>
    <row r="173">
      <c r="A173" s="0" t="e">
        <f>TIME(0,0,-0.5)</f>
        <v>#NUM!</v>
      </c>
    </row>
    <row r="174">
      <c r="A174" s="0">
        <f>TIME(32767,0,0)</f>
        <v>0.29166666666674246</v>
      </c>
    </row>
    <row r="175">
      <c r="A175" s="0" t="e">
        <f>TIME(32768,0,0)</f>
        <v>#NUM!</v>
      </c>
    </row>
    <row r="176">
      <c r="A176" s="0">
        <f>TIME(0,32767,0)</f>
        <v>0.7548611111111114</v>
      </c>
    </row>
    <row r="177">
      <c r="A177" s="0">
        <f>TIME(0,0,32767)</f>
        <v>0.3792476851851852</v>
      </c>
    </row>
    <row r="178">
      <c r="A178" s="0" t="e">
        <f>TIME(0,0,32768)</f>
        <v>#NUM!</v>
      </c>
    </row>
    <row r="179">
      <c r="A179" s="0" t="e">
        <f>TIME(Data!A9,0,0)</f>
        <v>#DIV/0!</v>
      </c>
    </row>
    <row r="180">
      <c r="A180" s="0">
        <f>HOUR(Data!A5)</f>
        <v>18</v>
      </c>
    </row>
    <row r="181">
      <c r="A181" s="0">
        <f>MINUTE(Data!A5)</f>
        <v>0</v>
      </c>
    </row>
    <row r="182">
      <c r="A182" s="0">
        <f>SECOND(Data!A5)</f>
        <v>0</v>
      </c>
    </row>
    <row r="183">
      <c r="A183" s="0">
        <f>HOUR(0.75)</f>
        <v>18</v>
      </c>
    </row>
    <row r="184">
      <c r="A184" s="0">
        <f>HOUR(1.75)</f>
        <v>18</v>
      </c>
    </row>
    <row r="185">
      <c r="A185" s="0">
        <f>HOUR(0.999999)</f>
        <v>0</v>
      </c>
    </row>
    <row r="186">
      <c r="A186" s="0">
        <f>MINUTE(0.999999)</f>
        <v>0</v>
      </c>
    </row>
    <row r="187">
      <c r="A187" s="0">
        <f>SECOND(0.999999)</f>
        <v>0</v>
      </c>
    </row>
    <row r="188">
      <c r="A188" s="0">
        <f>HOUR(0.99999)</f>
        <v>23</v>
      </c>
    </row>
    <row r="189">
      <c r="A189" s="0">
        <f>SECOND(0.5/86400)</f>
        <v>1</v>
      </c>
    </row>
    <row r="190">
      <c r="A190" s="0">
        <f>SECOND(0.49/86400)</f>
        <v>0</v>
      </c>
    </row>
    <row r="191">
      <c r="A191" s="0">
        <f>SECOND(0.51/86400)</f>
        <v>1</v>
      </c>
    </row>
    <row r="192">
      <c r="A192" s="0">
        <f>SECOND(TIME(1,2,3)+0.4/86400)</f>
        <v>3</v>
      </c>
    </row>
    <row r="193">
      <c r="A193" s="0">
        <f>SECOND(TIME(1,2,3)+0.6/86400)</f>
        <v>4</v>
      </c>
    </row>
    <row r="194">
      <c r="A194" s="0">
        <f>SECOND(TIME(1,2,3))</f>
        <v>3</v>
      </c>
    </row>
    <row r="195">
      <c r="A195" s="0">
        <f>MINUTE(TIME(1,2,3))</f>
        <v>2</v>
      </c>
    </row>
    <row r="196">
      <c r="A196" s="0">
        <f>HOUR(TIME(1,2,3))</f>
        <v>1</v>
      </c>
    </row>
    <row r="197">
      <c r="A197" s="0" t="e">
        <f>HOUR(-0.1)</f>
        <v>#NUM!</v>
      </c>
    </row>
    <row r="198">
      <c r="A198" s="0" t="e">
        <f>HOUR(2958466)</f>
        <v>#NUM!</v>
      </c>
    </row>
    <row r="199">
      <c r="A199" s="0">
        <f>HOUR(Data!A7)</f>
      </c>
    </row>
    <row r="200">
      <c r="A200" s="0" t="e">
        <f>SECOND(Data!A11+0.9999999)</f>
        <v>#NUM!</v>
      </c>
    </row>
    <row r="201">
      <c r="A201" s="0">
        <f>MINUTE(Data!A12)</f>
        <v>0</v>
      </c>
    </row>
    <row r="202">
      <c r="A202" s="0">
        <f>DATEDIF(DATE(2001,1,1),DATE(2003,1,1),"Y")</f>
        <v>2</v>
      </c>
    </row>
    <row r="203">
      <c r="A203" s="0">
        <f>DATEDIF(DATE(2001,6,1),DATE(2002,8,15),"D")</f>
        <v>440</v>
      </c>
    </row>
    <row r="204">
      <c r="A204" s="0">
        <f>DATEDIF(DATE(2001,6,1),DATE(2002,8,15),"M")</f>
        <v>14</v>
      </c>
    </row>
    <row r="205">
      <c r="A205" s="0">
        <f>DATEDIF(DATE(2001,6,1),DATE(2002,8,15),"YM")</f>
        <v>2</v>
      </c>
    </row>
    <row r="206">
      <c r="A206" s="0">
        <f>DATEDIF(DATE(2001,6,1),DATE(2002,8,15),"YD")</f>
        <v>75</v>
      </c>
    </row>
    <row r="207">
      <c r="A207" s="0">
        <f>DATEDIF(DATE(2001,6,1),DATE(2002,8,15),"MD")</f>
        <v>14</v>
      </c>
    </row>
    <row r="208">
      <c r="A208" s="0">
        <f>DATEDIF(DATE(2001,6,1),DATE(2002,8,15),"md")</f>
        <v>14</v>
      </c>
    </row>
    <row r="209">
      <c r="A209" s="0">
        <f>DATEDIF(DATE(2011,1,31),DATE(2011,3,1),"MD")</f>
        <v>-2</v>
      </c>
    </row>
    <row r="210">
      <c r="A210" s="0">
        <f>DATEDIF(DATE(2011,1,31),DATE(2011,3,1),"M")</f>
        <v>1</v>
      </c>
    </row>
    <row r="211">
      <c r="A211" s="0">
        <f>DATEDIF(DATE(2011,1,31),DATE(2011,2,28),"M")</f>
        <v>0</v>
      </c>
    </row>
    <row r="212">
      <c r="A212" s="0">
        <f>DATEDIF(DATE(2020,2,29),DATE(2021,2,28),"Y")</f>
        <v>0</v>
      </c>
    </row>
    <row r="213">
      <c r="A213" s="0">
        <f>DATEDIF(DATE(2020,2,29),DATE(2021,2,28),"YD")</f>
        <v>365</v>
      </c>
    </row>
    <row r="214">
      <c r="A214" s="0">
        <f>DATEDIF(DATE(2020,2,29),DATE(2021,3,1),"YD")</f>
        <v>0</v>
      </c>
    </row>
    <row r="215">
      <c r="A215" s="0">
        <f>DATEDIF(DATE(2019,3,1),DATE(2020,2,29),"YD")</f>
        <v>365</v>
      </c>
    </row>
    <row r="216">
      <c r="A216" s="0">
        <f>DATEDIF(DATE(2019,12,31),DATE(2020,1,1),"YD")</f>
        <v>1</v>
      </c>
    </row>
    <row r="217">
      <c r="A217" s="0">
        <f>DATEDIF(DATE(2020,3,31),DATE(2020,4,30),"MD")</f>
        <v>30</v>
      </c>
    </row>
    <row r="218">
      <c r="A218" s="0">
        <f>DATEDIF(DATE(2020,1,31),DATE(2020,3,30),"MD")</f>
        <v>28</v>
      </c>
    </row>
    <row r="219">
      <c r="A219" s="0">
        <f>DATEDIF(Data!A1,Data!A1,"D")</f>
        <v>0</v>
      </c>
    </row>
    <row r="220">
      <c r="A220" s="0" t="e">
        <f>DATEDIF(Data!A1,Data!A2,"D")</f>
        <v>#NUM!</v>
      </c>
    </row>
    <row r="221">
      <c r="A221" s="0" t="e">
        <f>DATEDIF(Data!A2,Data!A1,"W")</f>
        <v>#NUM!</v>
      </c>
    </row>
    <row r="222">
      <c r="A222" s="0">
        <f>DATEDIF(Data!A2,Data!A1+0.9,"D")</f>
        <v>672</v>
      </c>
    </row>
    <row r="223">
      <c r="A223" s="0">
        <f>DATEDIF(1,61,"D")</f>
        <v>60</v>
      </c>
    </row>
    <row r="224">
      <c r="A224" s="0">
        <f>DATEDIF(0,61,"M")</f>
        <v>2</v>
      </c>
    </row>
    <row r="225">
      <c r="A225" s="0">
        <f>YEARFRAC(DATE(2012,1,1),DATE(2012,7,30))</f>
        <v>0.5805555555555556</v>
      </c>
    </row>
    <row r="226">
      <c r="A226" s="0">
        <f>YEARFRAC(DATE(2012,1,1),DATE(2012,7,30),1)</f>
        <v>0.5765027322404371</v>
      </c>
    </row>
    <row r="227">
      <c r="A227" s="0">
        <f>YEARFRAC(DATE(2012,1,1),DATE(2012,7,30),2)</f>
        <v>0.5861111111111111</v>
      </c>
    </row>
    <row r="228">
      <c r="A228" s="0">
        <f>YEARFRAC(DATE(2012,1,1),DATE(2012,7,30),3)</f>
        <v>0.5780821917808219</v>
      </c>
    </row>
    <row r="229">
      <c r="A229" s="0">
        <f>YEARFRAC(DATE(2012,1,1),DATE(2012,7,30),4)</f>
        <v>0.5805555555555556</v>
      </c>
    </row>
    <row r="230">
      <c r="A230" s="0">
        <f>YEARFRAC(DATE(2012,7,30),DATE(2012,1,1),1)</f>
        <v>0.5765027322404371</v>
      </c>
    </row>
    <row r="231">
      <c r="A231" s="0">
        <f>YEARFRAC(DATE(2011,1,31),DATE(2011,2,28),0)</f>
        <v>0.07777777777777778</v>
      </c>
    </row>
    <row r="232">
      <c r="A232" s="0">
        <f>YEARFRAC(DATE(2011,2,28),DATE(2011,3,31),0)</f>
        <v>0.08611111111111111</v>
      </c>
    </row>
    <row r="233">
      <c r="A233" s="0">
        <f>YEARFRAC(DATE(2012,2,29),DATE(2013,2,28),0)</f>
        <v>1</v>
      </c>
    </row>
    <row r="234">
      <c r="A234" s="0">
        <f>YEARFRAC(DATE(2011,1,30),DATE(2011,3,31),0)</f>
        <v>0.16666666666666666</v>
      </c>
    </row>
    <row r="235">
      <c r="A235" s="0">
        <f>YEARFRAC(DATE(2011,1,31),DATE(2011,3,31),4)</f>
        <v>0.16666666666666666</v>
      </c>
    </row>
    <row r="236">
      <c r="A236" s="0">
        <f>YEARFRAC(DATE(2011,2,28),DATE(2011,3,31),4)</f>
        <v>0.08888888888888889</v>
      </c>
    </row>
    <row r="237">
      <c r="A237" s="0">
        <f>YEARFRAC(DATE(2010,6,15),DATE(2013,2,1),1)</f>
        <v>2.6338124572210813</v>
      </c>
    </row>
    <row r="238">
      <c r="A238" s="0">
        <f>YEARFRAC(DATE(2011,3,1),DATE(2012,3,1),1)</f>
        <v>1</v>
      </c>
    </row>
    <row r="239">
      <c r="A239" s="0">
        <f>YEARFRAC(DATE(2011,3,2),DATE(2012,3,1),1)</f>
        <v>0.9972677595628415</v>
      </c>
    </row>
    <row r="240">
      <c r="A240" s="0">
        <f>YEARFRAC(DATE(2012,2,29),DATE(2013,1,1),1)</f>
        <v>0.8387978142076503</v>
      </c>
    </row>
    <row r="241">
      <c r="A241" s="0">
        <f>YEARFRAC(DATE(2012,1,1),DATE(2013,1,1),1)</f>
        <v>1</v>
      </c>
    </row>
    <row r="242">
      <c r="A242" s="0">
        <f>YEARFRAC(DATE(2011,6,1),DATE(2012,5,31),1)</f>
        <v>0.9972677595628415</v>
      </c>
    </row>
    <row r="243">
      <c r="A243" s="0">
        <f>YEARFRAC(DATE(2011,1,1),DATE(2011,12,31),1)</f>
        <v>0.9972602739726028</v>
      </c>
    </row>
    <row r="244">
      <c r="A244" s="0">
        <f>YEARFRAC(DATE(1900,1,1),DATE(1900,12,31),1)</f>
        <v>1</v>
      </c>
    </row>
    <row r="245">
      <c r="A245" s="0">
        <f>YEARFRAC(DATE(1900,1,1),DATE(1901,1,1),1)</f>
        <v>1.0027397260273974</v>
      </c>
    </row>
    <row r="246">
      <c r="A246" s="0">
        <f>YEARFRAC(Data!A2,Data!A1,0)</f>
        <v>1.836111111111111</v>
      </c>
    </row>
    <row r="247">
      <c r="A247" s="0">
        <f>YEARFRAC(Data!A2,Data!A1,1)</f>
        <v>1.8394160583941608</v>
      </c>
    </row>
    <row r="248">
      <c r="A248" s="0">
        <f>YEARFRAC(Data!A2,Data!A1,3)</f>
        <v>1.841095890410959</v>
      </c>
    </row>
    <row r="249">
      <c r="A249" s="0">
        <f>YEARFRAC(Data!A1,Data!A1)</f>
        <v>0</v>
      </c>
    </row>
    <row r="250">
      <c r="A250" s="0">
        <f>YEARFRAC(Data!A2,Data!A1,1.9)</f>
        <v>1.8394160583941608</v>
      </c>
    </row>
    <row r="251">
      <c r="A251" s="0" t="e">
        <f>YEARFRAC(Data!A2,Data!A1,-1)</f>
        <v>#NUM!</v>
      </c>
    </row>
    <row r="252">
      <c r="A252" s="0" t="e">
        <f>YEARFRAC(Data!A2,Data!A1,5)</f>
        <v>#NUM!</v>
      </c>
    </row>
    <row r="253">
      <c r="A253" s="0">
        <f>YEARFRAC(Data!A2,Data!A7)</f>
      </c>
    </row>
    <row r="254">
      <c r="A254" s="0">
        <f>WEEKNUM(Data!A1)</f>
        <v>1</v>
      </c>
    </row>
    <row r="255">
      <c r="A255" s="0">
        <f>WEEKNUM(DATE(2026,1,3))</f>
        <v>1</v>
      </c>
    </row>
    <row r="256">
      <c r="A256" s="0">
        <f>WEEKNUM(DATE(2026,1,4))</f>
        <v>2</v>
      </c>
    </row>
    <row r="257">
      <c r="A257" s="0">
        <f>WEEKNUM(DATE(2026,1,4),2)</f>
        <v>1</v>
      </c>
    </row>
    <row r="258">
      <c r="A258" s="0">
        <f>WEEKNUM(DATE(2026,1,5),2)</f>
        <v>2</v>
      </c>
    </row>
    <row r="259">
      <c r="A259" s="0">
        <f>WEEKNUM(DATE(2026,12,31))</f>
        <v>53</v>
      </c>
    </row>
    <row r="260">
      <c r="A260" s="0">
        <f>WEEKNUM(DATE(2026,12,31),2)</f>
        <v>53</v>
      </c>
    </row>
    <row r="261">
      <c r="A261" s="0">
        <f>WEEKNUM(DATE(2026,1,8),11)</f>
        <v>2</v>
      </c>
    </row>
    <row r="262">
      <c r="A262" s="0">
        <f>WEEKNUM(DATE(2026,1,8),12)</f>
        <v>2</v>
      </c>
    </row>
    <row r="263">
      <c r="A263" s="0">
        <f>WEEKNUM(DATE(2026,1,8),13)</f>
        <v>2</v>
      </c>
    </row>
    <row r="264">
      <c r="A264" s="0">
        <f>WEEKNUM(DATE(2026,1,8),14)</f>
        <v>2</v>
      </c>
    </row>
    <row r="265">
      <c r="A265" s="0">
        <f>WEEKNUM(DATE(2026,1,8),15)</f>
        <v>2</v>
      </c>
    </row>
    <row r="266">
      <c r="A266" s="0">
        <f>WEEKNUM(DATE(2026,1,8),16)</f>
        <v>2</v>
      </c>
    </row>
    <row r="267">
      <c r="A267" s="0">
        <f>WEEKNUM(DATE(2026,1,8),17)</f>
        <v>2</v>
      </c>
    </row>
    <row r="268">
      <c r="A268" s="0">
        <f>WEEKNUM(DATE(2026,1,1),21)</f>
        <v>1</v>
      </c>
    </row>
    <row r="269">
      <c r="A269" s="0">
        <f>WEEKNUM(DATE(2027,1,1),21)</f>
        <v>53</v>
      </c>
    </row>
    <row r="270">
      <c r="A270" s="0">
        <f>WEEKNUM(DATE(2024,12,30),21)</f>
        <v>1</v>
      </c>
    </row>
    <row r="271">
      <c r="A271" s="0">
        <f>WEEKNUM(DATE(2021,1,3),21)</f>
        <v>53</v>
      </c>
    </row>
    <row r="272">
      <c r="A272" s="0">
        <f>WEEKNUM(DATE(2020,12,31),21)</f>
        <v>53</v>
      </c>
    </row>
    <row r="273">
      <c r="A273" s="0">
        <f>WEEKNUM(0)</f>
        <v>0</v>
      </c>
    </row>
    <row r="274">
      <c r="A274" s="0">
        <f>WEEKNUM(1)</f>
        <v>1</v>
      </c>
    </row>
    <row r="275">
      <c r="A275" s="0">
        <f>WEEKNUM(1,21)</f>
        <v>52</v>
      </c>
    </row>
    <row r="276">
      <c r="A276" s="0">
        <f>WEEKNUM(60)</f>
        <v>9</v>
      </c>
    </row>
    <row r="277">
      <c r="A277" s="0" t="e">
        <f>WEEKNUM(Data!A1,3)</f>
        <v>#NUM!</v>
      </c>
    </row>
    <row r="278">
      <c r="A278" s="0">
        <f>WEEKNUM(Data!A1,1.9)</f>
        <v>1</v>
      </c>
    </row>
    <row r="279">
      <c r="A279" s="0">
        <f>WEEKNUM(Data!A1,22)</f>
      </c>
    </row>
    <row r="280">
      <c r="A280" s="0">
        <f>Data!F1+1</f>
      </c>
    </row>
    <row r="281">
      <c r="A281" s="0">
        <f>Data!F2*2</f>
      </c>
    </row>
    <row r="282">
      <c r="A282" s="0">
        <f>Data!F3+1</f>
      </c>
    </row>
    <row r="283">
      <c r="A283" s="0">
        <f>Data!F4+1</f>
        <v>6</v>
      </c>
    </row>
    <row r="284">
      <c r="A284" s="0" t="e">
        <f>Data!A8+1</f>
        <v>#VALUE!</v>
      </c>
    </row>
    <row r="285">
      <c r="A285" s="0">
        <f>Data!A7+0</f>
      </c>
    </row>
    <row r="286">
      <c r="A286" s="0">
        <f>-Data!F1</f>
      </c>
    </row>
    <row r="287">
      <c r="A287" s="0">
        <f>Data!F1%</f>
      </c>
    </row>
    <row r="288">
      <c r="A288" s="0" t="str">
        <f>""&amp;Data!F1</f>
        <v>1,000</v>
      </c>
    </row>
    <row r="289">
      <c r="A289" s="0" t="b">
        <f>Data!F1=1000</f>
        <v>0</v>
      </c>
    </row>
    <row r="290">
      <c r="A290" s="0">
        <f>VALUE(Data!F1)</f>
      </c>
    </row>
    <row r="291">
      <c r="A291" s="0">
        <f>DATEVALUE("1/1/2026")</f>
      </c>
    </row>
    <row r="292">
      <c r="A292" s="0">
        <f>TIMEVALUE("12:00")</f>
      </c>
    </row>
    <row r="293">
      <c r="A293" s="0">
        <f>TODAY()-TODAY()</f>
      </c>
    </row>
    <row r="294">
      <c r="A294" s="0">
        <f>NOW()-NOW()</f>
      </c>
    </row>
    <row r="295">
      <c r="A295" s="0" t="str">
        <f>TEXT(DATE(2026,1,1),"dddd, mmmm d, yyyy")</f>
        <v>Thursday, January 1, 2026</v>
      </c>
    </row>
    <row r="296">
      <c r="A296" s="0" t="str">
        <f>TEXT(TIME(18,5,9),"hh:mm:ss")</f>
        <v>18:05:09</v>
      </c>
    </row>
    <row r="297">
      <c r="A297" s="0" t="str">
        <f>TEXT(EOMONTH(Data!A2,0),"yyyy-mm-dd")</f>
        <v>2024-02-29</v>
      </c>
    </row>
    <row r="298">
      <c r="A298" s="0">
        <f>DATE(-1,13,1)</f>
      </c>
    </row>
    <row r="299">
      <c r="A299" s="0">
        <f>DATE(1899,13,1)</f>
        <v>693963</v>
      </c>
    </row>
    <row r="300">
      <c r="A300" s="0" t="e">
        <f>YEAR(-0.000001)</f>
        <v>#NUM!</v>
      </c>
    </row>
    <row r="301">
      <c r="A301" s="0" t="e">
        <f>HOUR(-0.000001)</f>
        <v>#NUM!</v>
      </c>
    </row>
    <row r="302">
      <c r="A302" s="0">
        <f>WEEKDAY(45658.99999999)</f>
        <v>5</v>
      </c>
    </row>
    <row r="303">
      <c r="A303" s="0">
        <f>EOMONTH(45688.99999999,0)</f>
        <v>45688</v>
      </c>
    </row>
    <row r="304">
      <c r="A304" s="0">
        <f>EDATE(45658.99999999,0)</f>
        <v>45658</v>
      </c>
    </row>
    <row r="305">
      <c r="A305" s="0">
        <f>_xlfn.DAYS(45658.99999999,45658)</f>
        <v>0</v>
      </c>
    </row>
    <row r="306">
      <c r="A306" s="0">
        <f>NETWORKDAYS(45658.99999999,45659)</f>
        <v>2</v>
      </c>
    </row>
    <row r="307">
      <c r="A307" s="0">
        <f>NETWORKDAYS(45659,45660,45658.99999999)</f>
        <v>2</v>
      </c>
    </row>
    <row r="308">
      <c r="A308" s="0">
        <f>WORKDAY(45658.99999999,0)</f>
        <v>45658</v>
      </c>
    </row>
    <row r="309">
      <c r="A309" s="0">
        <f>DATEDIF(45658,45658.99999999,"D")</f>
        <v>0</v>
      </c>
    </row>
    <row r="310">
      <c r="A310" s="0">
        <f>YEARFRAC(45658,45658.99999999,3)</f>
        <v>0</v>
      </c>
    </row>
    <row r="311">
      <c r="A311" s="0">
        <f>WEEKNUM(45661.99999999)</f>
        <v>1</v>
      </c>
    </row>
    <row r="312">
      <c r="A312" s="0" t="str">
        <f>TEXT(45658.99999999,"d")</f>
        <v>2</v>
      </c>
    </row>
    <row r="313">
      <c r="A313" s="0">
        <f>TIME(1,-0.5,0)</f>
        <v>0.04097222222222222</v>
      </c>
    </row>
    <row r="314">
      <c r="A314" s="0">
        <f>TIME(-0.5,60,0)</f>
        <v>0</v>
      </c>
    </row>
    <row r="315">
      <c r="A315" s="0">
        <f>EDATE(60,0)</f>
        <v>59</v>
      </c>
    </row>
    <row r="316">
      <c r="A316" s="0">
        <f>DATEDIF(DATE(2020,2,29),DATE(2022,2,28),"YD")</f>
        <v>365</v>
      </c>
    </row>
    <row r="317">
      <c r="A317" s="0">
        <f>DATEDIF(DATE(2019,2,28),DATE(2020,2,29),"YD")</f>
        <v>1</v>
      </c>
    </row>
    <row r="318">
      <c r="A318" s="0">
        <f>DATEDIF(DATE(2020,2,29),DATE(2021,2,28),"MD")</f>
        <v>30</v>
      </c>
    </row>
    <row r="319">
      <c r="A319" s="0">
        <f>YEARFRAC(DATE(1900,2,28),DATE(1900,3,31),0)</f>
        <v>0.08611111111111111</v>
      </c>
    </row>
    <row r="320">
      <c r="A320" s="0">
        <f>YEARFRAC(60,DATE(1900,3,31),0)</f>
        <v>0.08888888888888889</v>
      </c>
    </row>
    <row r="321">
      <c r="A321" s="0">
        <f>YEARFRAC(DATE(1900,1,1),DATE(1902,1,2),1)</f>
        <v>2.0054794520547947</v>
      </c>
    </row>
    <row r="322">
      <c r="A322" s="0" t="e">
        <f>YEARFRAC(Data!A2,Data!A1,-0.5)</f>
        <v>#NUM!</v>
      </c>
    </row>
    <row r="323">
      <c r="A323" s="0" t="e">
        <f>WEEKNUM(DATE(2021,1,3),0)</f>
        <v>#NUM!</v>
      </c>
    </row>
    <row r="324">
      <c r="A324" s="0" t="e">
        <f>WEEKNUM(DATE(2021,1,3),4)</f>
        <v>#NUM!</v>
      </c>
    </row>
    <row r="325">
      <c r="A325" s="0" t="e">
        <f>WEEKNUM(DATE(2021,1,3),10)</f>
        <v>#NUM!</v>
      </c>
    </row>
    <row r="326">
      <c r="A326" s="0" t="e">
        <f>WEEKNUM(DATE(2021,1,3),18)</f>
        <v>#NUM!</v>
      </c>
    </row>
    <row r="327">
      <c r="A327" s="0" t="e">
        <f>WEEKNUM(DATE(2021,1,3),20)</f>
        <v>#NUM!</v>
      </c>
    </row>
    <row r="328">
      <c r="A328" s="0">
        <f>WEEKNUM(DATE(2021,1,3),28)</f>
      </c>
    </row>
    <row r="329">
      <c r="A329" s="0">
        <f>WEEKNUM(DATE(2021,1,3),30)</f>
      </c>
    </row>
    <row r="330">
      <c r="A330" s="0">
        <f>WEEKNUM(DATE(2021,1,3),150)</f>
      </c>
    </row>
    <row r="331">
      <c r="A331" s="0">
        <f>WEEKNUM(DATE(2021,1,1),22)</f>
      </c>
    </row>
    <row r="332">
      <c r="A332" s="0">
        <f>WEEKNUM(DATE(2021,1,3),22)</f>
      </c>
    </row>
    <row r="333">
      <c r="A333" s="0">
        <f>WEEKNUM(DATE(2022,1,1),22)</f>
      </c>
    </row>
    <row r="334">
      <c r="A334" s="0">
        <f>WEEKNUM(DATE(2021,1,1),23)</f>
      </c>
    </row>
    <row r="335">
      <c r="A335" s="0">
        <f>WEEKNUM(DATE(2021,1,3),23)</f>
      </c>
    </row>
    <row r="336">
      <c r="A336" s="0">
        <f>WEEKNUM(DATE(2022,1,1),23)</f>
      </c>
    </row>
    <row r="337">
      <c r="A337" s="0">
        <f>WEEKNUM(DATE(2021,1,1),24)</f>
      </c>
    </row>
    <row r="338">
      <c r="A338" s="0">
        <f>WEEKNUM(DATE(2021,1,3),24)</f>
      </c>
    </row>
    <row r="339">
      <c r="A339" s="0">
        <f>WEEKNUM(DATE(2022,1,1),24)</f>
      </c>
    </row>
    <row r="340">
      <c r="A340" s="0">
        <f>WEEKNUM(DATE(2021,1,1),25)</f>
      </c>
    </row>
    <row r="341">
      <c r="A341" s="0">
        <f>WEEKNUM(DATE(2021,1,3),25)</f>
      </c>
    </row>
    <row r="342">
      <c r="A342" s="0">
        <f>WEEKNUM(DATE(2022,1,1),25)</f>
      </c>
    </row>
    <row r="343">
      <c r="A343" s="0">
        <f>WEEKNUM(DATE(2021,1,1),26)</f>
      </c>
    </row>
    <row r="344">
      <c r="A344" s="0">
        <f>WEEKNUM(DATE(2021,1,3),26)</f>
      </c>
    </row>
    <row r="345">
      <c r="A345" s="0">
        <f>WEEKNUM(DATE(2022,1,1),26)</f>
      </c>
    </row>
    <row r="346">
      <c r="A346" s="0">
        <f>WEEKNUM(DATE(2021,1,1),27)</f>
      </c>
    </row>
    <row r="347">
      <c r="A347" s="0">
        <f>WEEKNUM(DATE(2021,1,3),27)</f>
      </c>
    </row>
    <row r="348">
      <c r="A348" s="0">
        <f>WEEKNUM(DATE(2022,1,1),27)</f>
      </c>
    </row>
    <row r="349">
      <c r="A349" s="0">
        <f>DATEDIF(DATE(2018,12,31),DATE(2019,1,1),"YD")</f>
        <v>1</v>
      </c>
    </row>
    <row r="350">
      <c r="A350" s="0">
        <f>DATEDIF(DATE(2001,6,1),DATE(2003,5,1),"YD")</f>
        <v>334</v>
      </c>
    </row>
    <row r="351">
      <c r="A351" s="0">
        <f>DATEDIF(DATE(2019,3,1),DATE(2021,2,28),"YD")</f>
        <v>364</v>
      </c>
    </row>
    <row r="352">
      <c r="A352" s="0">
        <f>DATEDIF(DATE(2020,2,29),DATE(2023,2,28),"YD")</f>
        <v>365</v>
      </c>
    </row>
    <row r="353">
      <c r="A353" s="0">
        <f>DATEDIF(DATE(2016,2,29),DATE(2018,1,15),"YD")</f>
        <v>321</v>
      </c>
    </row>
    <row r="354">
      <c r="A354" s="0">
        <f>DATEDIF(DATE(1988,6,22),DATE(2012,5,11),"YD")</f>
        <v>323</v>
      </c>
    </row>
    <row r="355">
      <c r="A355" s="0">
        <f>DATEDIF(DATE(2020,2,29),DATE(2023,3,1),"YD")</f>
        <v>0</v>
      </c>
    </row>
    <row r="356">
      <c r="A356" s="0">
        <f>DATE(10000,-11,1)</f>
      </c>
    </row>
    <row r="357">
      <c r="A357" s="0">
        <f>DATE(10000,-11,1)</f>
      </c>
    </row>
    <row r="358">
      <c r="A358" s="0">
        <f>WEEKNUM(Data!A1,22)</f>
      </c>
    </row>
    <row r="359">
      <c r="A359" s="0">
        <f>WEEKNUM(Data!A1,22)</f>
      </c>
    </row>
    <row r="360">
      <c r="A360" s="0">
        <f>DATEDIF(DATE(2019,1,31),DATE(2020,3,31),"YD")</f>
        <v>59</v>
      </c>
    </row>
    <row r="361">
      <c r="A361" s="0">
        <f>DATEDIF(DATE(2007,1,1),DATE(2008,3,1),"YD")</f>
        <v>59</v>
      </c>
    </row>
    <row r="362">
      <c r="A362" s="0">
        <f>DATEDIF(DATE(2019,6,1),DATE(2021,5,1),"YD")</f>
        <v>335</v>
      </c>
    </row>
    <row r="363">
      <c r="A363" s="0">
        <f>DATEDIF(DATE(2020,6,1),DATE(2024,5,1),"YD")</f>
        <v>334</v>
      </c>
    </row>
    <row r="364">
      <c r="A364" s="0">
        <f>DATEDIF(DATE(2019,1,15),DATE(2021,1,10),"YD")</f>
        <v>360</v>
      </c>
    </row>
  </sheetData>
</worksheet>
</file>

<file path=xl/worksheets/frazaro_4.xml><?xml version="1.0" encoding="utf-8"?>
<worksheet xmlns="http://schemas.openxmlformats.org/spreadsheetml/2006/main" xmlns:r="http://schemas.openxmlformats.org/officeDocument/2006/relationships">
  <dimension ref="A1:E202"/>
  <sheetViews>
    <sheetView workbookViewId="0">
      <selection activeCell="A1" sqref="A1"/>
    </sheetView>
  </sheetViews>
  <sheetFormatPr defaultRowHeight="15"/>
  <sheetData>
    <row r="1">
      <c r="A1" s="0">
        <f t="shared" ref="A1:A202" si="0">DATE(1899+ROW(),1,1)</f>
        <v>1</v>
      </c>
      <c r="B1" s="0">
        <f t="shared" ref="B1:B202" si="1">DAY(EOMONTH(A1,1))</f>
        <v>28</v>
      </c>
      <c r="C1" s="0">
        <f t="shared" ref="C1:C202" si="2">WEEKDAY(A1)*100+WEEKNUM(A1,21)</f>
        <v>152</v>
      </c>
      <c r="D1" s="0">
        <f t="shared" ref="D1:D202" si="3">YEAR(A1-1)*10000+MONTH(A1-1)*100+DAY(A1-1)</f>
        <v>19000100</v>
      </c>
      <c r="E1" s="0">
        <f t="shared" ref="E1:E202" si="4">WEEKNUM(DATE(1899+ROW(),12,31),21)</f>
        <v>1</v>
      </c>
    </row>
    <row r="2">
      <c r="A2" s="0">
        <f t="shared" si="0"/>
        <v>367</v>
      </c>
      <c r="B2" s="0">
        <f t="shared" si="1"/>
        <v>28</v>
      </c>
      <c r="C2" s="0">
        <f t="shared" si="2"/>
        <v>301</v>
      </c>
      <c r="D2" s="0">
        <f t="shared" si="3"/>
        <v>19001231</v>
      </c>
      <c r="E2" s="0">
        <f t="shared" si="4"/>
        <v>1</v>
      </c>
    </row>
    <row r="3">
      <c r="A3" s="0">
        <f t="shared" si="0"/>
        <v>732</v>
      </c>
      <c r="B3" s="0">
        <f t="shared" si="1"/>
        <v>28</v>
      </c>
      <c r="C3" s="0">
        <f t="shared" si="2"/>
        <v>401</v>
      </c>
      <c r="D3" s="0">
        <f t="shared" si="3"/>
        <v>19011231</v>
      </c>
      <c r="E3" s="0">
        <f t="shared" si="4"/>
        <v>1</v>
      </c>
    </row>
    <row r="4">
      <c r="A4" s="0">
        <f t="shared" si="0"/>
        <v>1097</v>
      </c>
      <c r="B4" s="0">
        <f t="shared" si="1"/>
        <v>28</v>
      </c>
      <c r="C4" s="0">
        <f t="shared" si="2"/>
        <v>501</v>
      </c>
      <c r="D4" s="0">
        <f t="shared" si="3"/>
        <v>19021231</v>
      </c>
      <c r="E4" s="0">
        <f t="shared" si="4"/>
        <v>53</v>
      </c>
    </row>
    <row r="5">
      <c r="A5" s="0">
        <f t="shared" si="0"/>
        <v>1462</v>
      </c>
      <c r="B5" s="0">
        <f t="shared" si="1"/>
        <v>29</v>
      </c>
      <c r="C5" s="0">
        <f t="shared" si="2"/>
        <v>653</v>
      </c>
      <c r="D5" s="0">
        <f t="shared" si="3"/>
        <v>19031231</v>
      </c>
      <c r="E5" s="0">
        <f t="shared" si="4"/>
        <v>52</v>
      </c>
    </row>
    <row r="6">
      <c r="A6" s="0">
        <f t="shared" si="0"/>
        <v>1828</v>
      </c>
      <c r="B6" s="0">
        <f t="shared" si="1"/>
        <v>28</v>
      </c>
      <c r="C6" s="0">
        <f t="shared" si="2"/>
        <v>152</v>
      </c>
      <c r="D6" s="0">
        <f t="shared" si="3"/>
        <v>19041231</v>
      </c>
      <c r="E6" s="0">
        <f t="shared" si="4"/>
        <v>52</v>
      </c>
    </row>
    <row r="7">
      <c r="A7" s="0">
        <f t="shared" si="0"/>
        <v>2193</v>
      </c>
      <c r="B7" s="0">
        <f t="shared" si="1"/>
        <v>28</v>
      </c>
      <c r="C7" s="0">
        <f t="shared" si="2"/>
        <v>201</v>
      </c>
      <c r="D7" s="0">
        <f t="shared" si="3"/>
        <v>19051231</v>
      </c>
      <c r="E7" s="0">
        <f t="shared" si="4"/>
        <v>1</v>
      </c>
    </row>
    <row r="8">
      <c r="A8" s="0">
        <f t="shared" si="0"/>
        <v>2558</v>
      </c>
      <c r="B8" s="0">
        <f t="shared" si="1"/>
        <v>28</v>
      </c>
      <c r="C8" s="0">
        <f t="shared" si="2"/>
        <v>301</v>
      </c>
      <c r="D8" s="0">
        <f t="shared" si="3"/>
        <v>19061231</v>
      </c>
      <c r="E8" s="0">
        <f t="shared" si="4"/>
        <v>1</v>
      </c>
    </row>
    <row r="9">
      <c r="A9" s="0">
        <f t="shared" si="0"/>
        <v>2923</v>
      </c>
      <c r="B9" s="0">
        <f t="shared" si="1"/>
        <v>29</v>
      </c>
      <c r="C9" s="0">
        <f t="shared" si="2"/>
        <v>401</v>
      </c>
      <c r="D9" s="0">
        <f t="shared" si="3"/>
        <v>19071231</v>
      </c>
      <c r="E9" s="0">
        <f t="shared" si="4"/>
        <v>53</v>
      </c>
    </row>
    <row r="10">
      <c r="A10" s="0">
        <f t="shared" si="0"/>
        <v>3289</v>
      </c>
      <c r="B10" s="0">
        <f t="shared" si="1"/>
        <v>28</v>
      </c>
      <c r="C10" s="0">
        <f t="shared" si="2"/>
        <v>653</v>
      </c>
      <c r="D10" s="0">
        <f t="shared" si="3"/>
        <v>19081231</v>
      </c>
      <c r="E10" s="0">
        <f t="shared" si="4"/>
        <v>52</v>
      </c>
    </row>
    <row r="11">
      <c r="A11" s="0">
        <f t="shared" si="0"/>
        <v>3654</v>
      </c>
      <c r="B11" s="0">
        <f t="shared" si="1"/>
        <v>28</v>
      </c>
      <c r="C11" s="0">
        <f t="shared" si="2"/>
        <v>752</v>
      </c>
      <c r="D11" s="0">
        <f t="shared" si="3"/>
        <v>19091231</v>
      </c>
      <c r="E11" s="0">
        <f t="shared" si="4"/>
        <v>52</v>
      </c>
    </row>
    <row r="12">
      <c r="A12" s="0">
        <f t="shared" si="0"/>
        <v>4019</v>
      </c>
      <c r="B12" s="0">
        <f t="shared" si="1"/>
        <v>28</v>
      </c>
      <c r="C12" s="0">
        <f t="shared" si="2"/>
        <v>152</v>
      </c>
      <c r="D12" s="0">
        <f t="shared" si="3"/>
        <v>19101231</v>
      </c>
      <c r="E12" s="0">
        <f t="shared" si="4"/>
        <v>52</v>
      </c>
    </row>
    <row r="13">
      <c r="A13" s="0">
        <f t="shared" si="0"/>
        <v>4384</v>
      </c>
      <c r="B13" s="0">
        <f t="shared" si="1"/>
        <v>29</v>
      </c>
      <c r="C13" s="0">
        <f t="shared" si="2"/>
        <v>201</v>
      </c>
      <c r="D13" s="0">
        <f t="shared" si="3"/>
        <v>19111231</v>
      </c>
      <c r="E13" s="0">
        <f t="shared" si="4"/>
        <v>1</v>
      </c>
    </row>
    <row r="14">
      <c r="A14" s="0">
        <f t="shared" si="0"/>
        <v>4750</v>
      </c>
      <c r="B14" s="0">
        <f t="shared" si="1"/>
        <v>28</v>
      </c>
      <c r="C14" s="0">
        <f t="shared" si="2"/>
        <v>401</v>
      </c>
      <c r="D14" s="0">
        <f t="shared" si="3"/>
        <v>19121231</v>
      </c>
      <c r="E14" s="0">
        <f t="shared" si="4"/>
        <v>1</v>
      </c>
    </row>
    <row r="15">
      <c r="A15" s="0">
        <f t="shared" si="0"/>
        <v>5115</v>
      </c>
      <c r="B15" s="0">
        <f t="shared" si="1"/>
        <v>28</v>
      </c>
      <c r="C15" s="0">
        <f t="shared" si="2"/>
        <v>501</v>
      </c>
      <c r="D15" s="0">
        <f t="shared" si="3"/>
        <v>19131231</v>
      </c>
      <c r="E15" s="0">
        <f t="shared" si="4"/>
        <v>53</v>
      </c>
    </row>
    <row r="16">
      <c r="A16" s="0">
        <f t="shared" si="0"/>
        <v>5480</v>
      </c>
      <c r="B16" s="0">
        <f t="shared" si="1"/>
        <v>28</v>
      </c>
      <c r="C16" s="0">
        <f t="shared" si="2"/>
        <v>653</v>
      </c>
      <c r="D16" s="0">
        <f t="shared" si="3"/>
        <v>19141231</v>
      </c>
      <c r="E16" s="0">
        <f t="shared" si="4"/>
        <v>52</v>
      </c>
    </row>
    <row r="17">
      <c r="A17" s="0">
        <f t="shared" si="0"/>
        <v>5845</v>
      </c>
      <c r="B17" s="0">
        <f t="shared" si="1"/>
        <v>29</v>
      </c>
      <c r="C17" s="0">
        <f t="shared" si="2"/>
        <v>752</v>
      </c>
      <c r="D17" s="0">
        <f t="shared" si="3"/>
        <v>19151231</v>
      </c>
      <c r="E17" s="0">
        <f t="shared" si="4"/>
        <v>52</v>
      </c>
    </row>
    <row r="18">
      <c r="A18" s="0">
        <f t="shared" si="0"/>
        <v>6211</v>
      </c>
      <c r="B18" s="0">
        <f t="shared" si="1"/>
        <v>28</v>
      </c>
      <c r="C18" s="0">
        <f t="shared" si="2"/>
        <v>201</v>
      </c>
      <c r="D18" s="0">
        <f t="shared" si="3"/>
        <v>19161231</v>
      </c>
      <c r="E18" s="0">
        <f t="shared" si="4"/>
        <v>1</v>
      </c>
    </row>
    <row r="19">
      <c r="A19" s="0">
        <f t="shared" si="0"/>
        <v>6576</v>
      </c>
      <c r="B19" s="0">
        <f t="shared" si="1"/>
        <v>28</v>
      </c>
      <c r="C19" s="0">
        <f t="shared" si="2"/>
        <v>301</v>
      </c>
      <c r="D19" s="0">
        <f t="shared" si="3"/>
        <v>19171231</v>
      </c>
      <c r="E19" s="0">
        <f t="shared" si="4"/>
        <v>1</v>
      </c>
    </row>
    <row r="20">
      <c r="A20" s="0">
        <f t="shared" si="0"/>
        <v>6941</v>
      </c>
      <c r="B20" s="0">
        <f t="shared" si="1"/>
        <v>28</v>
      </c>
      <c r="C20" s="0">
        <f t="shared" si="2"/>
        <v>401</v>
      </c>
      <c r="D20" s="0">
        <f t="shared" si="3"/>
        <v>19181231</v>
      </c>
      <c r="E20" s="0">
        <f t="shared" si="4"/>
        <v>1</v>
      </c>
    </row>
    <row r="21">
      <c r="A21" s="0">
        <f t="shared" si="0"/>
        <v>7306</v>
      </c>
      <c r="B21" s="0">
        <f t="shared" si="1"/>
        <v>29</v>
      </c>
      <c r="C21" s="0">
        <f t="shared" si="2"/>
        <v>501</v>
      </c>
      <c r="D21" s="0">
        <f t="shared" si="3"/>
        <v>19191231</v>
      </c>
      <c r="E21" s="0">
        <f t="shared" si="4"/>
        <v>53</v>
      </c>
    </row>
    <row r="22">
      <c r="A22" s="0">
        <f t="shared" si="0"/>
        <v>7672</v>
      </c>
      <c r="B22" s="0">
        <f t="shared" si="1"/>
        <v>28</v>
      </c>
      <c r="C22" s="0">
        <f t="shared" si="2"/>
        <v>753</v>
      </c>
      <c r="D22" s="0">
        <f t="shared" si="3"/>
        <v>19201231</v>
      </c>
      <c r="E22" s="0">
        <f t="shared" si="4"/>
        <v>52</v>
      </c>
    </row>
    <row r="23">
      <c r="A23" s="0">
        <f t="shared" si="0"/>
        <v>8037</v>
      </c>
      <c r="B23" s="0">
        <f t="shared" si="1"/>
        <v>28</v>
      </c>
      <c r="C23" s="0">
        <f t="shared" si="2"/>
        <v>152</v>
      </c>
      <c r="D23" s="0">
        <f t="shared" si="3"/>
        <v>19211231</v>
      </c>
      <c r="E23" s="0">
        <f t="shared" si="4"/>
        <v>52</v>
      </c>
    </row>
    <row r="24">
      <c r="A24" s="0">
        <f t="shared" si="0"/>
        <v>8402</v>
      </c>
      <c r="B24" s="0">
        <f t="shared" si="1"/>
        <v>28</v>
      </c>
      <c r="C24" s="0">
        <f t="shared" si="2"/>
        <v>201</v>
      </c>
      <c r="D24" s="0">
        <f t="shared" si="3"/>
        <v>19221231</v>
      </c>
      <c r="E24" s="0">
        <f t="shared" si="4"/>
        <v>1</v>
      </c>
    </row>
    <row r="25">
      <c r="A25" s="0">
        <f t="shared" si="0"/>
        <v>8767</v>
      </c>
      <c r="B25" s="0">
        <f t="shared" si="1"/>
        <v>29</v>
      </c>
      <c r="C25" s="0">
        <f t="shared" si="2"/>
        <v>301</v>
      </c>
      <c r="D25" s="0">
        <f t="shared" si="3"/>
        <v>19231231</v>
      </c>
      <c r="E25" s="0">
        <f t="shared" si="4"/>
        <v>1</v>
      </c>
    </row>
    <row r="26">
      <c r="A26" s="0">
        <f t="shared" si="0"/>
        <v>9133</v>
      </c>
      <c r="B26" s="0">
        <f t="shared" si="1"/>
        <v>28</v>
      </c>
      <c r="C26" s="0">
        <f t="shared" si="2"/>
        <v>501</v>
      </c>
      <c r="D26" s="0">
        <f t="shared" si="3"/>
        <v>19241231</v>
      </c>
      <c r="E26" s="0">
        <f t="shared" si="4"/>
        <v>53</v>
      </c>
    </row>
    <row r="27">
      <c r="A27" s="0">
        <f t="shared" si="0"/>
        <v>9498</v>
      </c>
      <c r="B27" s="0">
        <f t="shared" si="1"/>
        <v>28</v>
      </c>
      <c r="C27" s="0">
        <f t="shared" si="2"/>
        <v>653</v>
      </c>
      <c r="D27" s="0">
        <f t="shared" si="3"/>
        <v>19251231</v>
      </c>
      <c r="E27" s="0">
        <f t="shared" si="4"/>
        <v>52</v>
      </c>
    </row>
    <row r="28">
      <c r="A28" s="0">
        <f t="shared" si="0"/>
        <v>9863</v>
      </c>
      <c r="B28" s="0">
        <f t="shared" si="1"/>
        <v>28</v>
      </c>
      <c r="C28" s="0">
        <f t="shared" si="2"/>
        <v>752</v>
      </c>
      <c r="D28" s="0">
        <f t="shared" si="3"/>
        <v>19261231</v>
      </c>
      <c r="E28" s="0">
        <f t="shared" si="4"/>
        <v>52</v>
      </c>
    </row>
    <row r="29">
      <c r="A29" s="0">
        <f t="shared" si="0"/>
        <v>10228</v>
      </c>
      <c r="B29" s="0">
        <f t="shared" si="1"/>
        <v>29</v>
      </c>
      <c r="C29" s="0">
        <f t="shared" si="2"/>
        <v>152</v>
      </c>
      <c r="D29" s="0">
        <f t="shared" si="3"/>
        <v>19271231</v>
      </c>
      <c r="E29" s="0">
        <f t="shared" si="4"/>
        <v>1</v>
      </c>
    </row>
    <row r="30">
      <c r="A30" s="0">
        <f t="shared" si="0"/>
        <v>10594</v>
      </c>
      <c r="B30" s="0">
        <f t="shared" si="1"/>
        <v>28</v>
      </c>
      <c r="C30" s="0">
        <f t="shared" si="2"/>
        <v>301</v>
      </c>
      <c r="D30" s="0">
        <f t="shared" si="3"/>
        <v>19281231</v>
      </c>
      <c r="E30" s="0">
        <f t="shared" si="4"/>
        <v>1</v>
      </c>
    </row>
    <row r="31">
      <c r="A31" s="0">
        <f t="shared" si="0"/>
        <v>10959</v>
      </c>
      <c r="B31" s="0">
        <f t="shared" si="1"/>
        <v>28</v>
      </c>
      <c r="C31" s="0">
        <f t="shared" si="2"/>
        <v>401</v>
      </c>
      <c r="D31" s="0">
        <f t="shared" si="3"/>
        <v>19291231</v>
      </c>
      <c r="E31" s="0">
        <f t="shared" si="4"/>
        <v>1</v>
      </c>
    </row>
    <row r="32">
      <c r="A32" s="0">
        <f t="shared" si="0"/>
        <v>11324</v>
      </c>
      <c r="B32" s="0">
        <f t="shared" si="1"/>
        <v>28</v>
      </c>
      <c r="C32" s="0">
        <f t="shared" si="2"/>
        <v>501</v>
      </c>
      <c r="D32" s="0">
        <f t="shared" si="3"/>
        <v>19301231</v>
      </c>
      <c r="E32" s="0">
        <f t="shared" si="4"/>
        <v>53</v>
      </c>
    </row>
    <row r="33">
      <c r="A33" s="0">
        <f t="shared" si="0"/>
        <v>11689</v>
      </c>
      <c r="B33" s="0">
        <f t="shared" si="1"/>
        <v>29</v>
      </c>
      <c r="C33" s="0">
        <f t="shared" si="2"/>
        <v>653</v>
      </c>
      <c r="D33" s="0">
        <f t="shared" si="3"/>
        <v>19311231</v>
      </c>
      <c r="E33" s="0">
        <f t="shared" si="4"/>
        <v>52</v>
      </c>
    </row>
    <row r="34">
      <c r="A34" s="0">
        <f t="shared" si="0"/>
        <v>12055</v>
      </c>
      <c r="B34" s="0">
        <f t="shared" si="1"/>
        <v>28</v>
      </c>
      <c r="C34" s="0">
        <f t="shared" si="2"/>
        <v>152</v>
      </c>
      <c r="D34" s="0">
        <f t="shared" si="3"/>
        <v>19321231</v>
      </c>
      <c r="E34" s="0">
        <f t="shared" si="4"/>
        <v>52</v>
      </c>
    </row>
    <row r="35">
      <c r="A35" s="0">
        <f t="shared" si="0"/>
        <v>12420</v>
      </c>
      <c r="B35" s="0">
        <f t="shared" si="1"/>
        <v>28</v>
      </c>
      <c r="C35" s="0">
        <f t="shared" si="2"/>
        <v>201</v>
      </c>
      <c r="D35" s="0">
        <f t="shared" si="3"/>
        <v>19331231</v>
      </c>
      <c r="E35" s="0">
        <f t="shared" si="4"/>
        <v>1</v>
      </c>
    </row>
    <row r="36">
      <c r="A36" s="0">
        <f t="shared" si="0"/>
        <v>12785</v>
      </c>
      <c r="B36" s="0">
        <f t="shared" si="1"/>
        <v>28</v>
      </c>
      <c r="C36" s="0">
        <f t="shared" si="2"/>
        <v>301</v>
      </c>
      <c r="D36" s="0">
        <f t="shared" si="3"/>
        <v>19341231</v>
      </c>
      <c r="E36" s="0">
        <f t="shared" si="4"/>
        <v>1</v>
      </c>
    </row>
    <row r="37">
      <c r="A37" s="0">
        <f t="shared" si="0"/>
        <v>13150</v>
      </c>
      <c r="B37" s="0">
        <f t="shared" si="1"/>
        <v>29</v>
      </c>
      <c r="C37" s="0">
        <f t="shared" si="2"/>
        <v>401</v>
      </c>
      <c r="D37" s="0">
        <f t="shared" si="3"/>
        <v>19351231</v>
      </c>
      <c r="E37" s="0">
        <f t="shared" si="4"/>
        <v>53</v>
      </c>
    </row>
    <row r="38">
      <c r="A38" s="0">
        <f t="shared" si="0"/>
        <v>13516</v>
      </c>
      <c r="B38" s="0">
        <f t="shared" si="1"/>
        <v>28</v>
      </c>
      <c r="C38" s="0">
        <f t="shared" si="2"/>
        <v>653</v>
      </c>
      <c r="D38" s="0">
        <f t="shared" si="3"/>
        <v>19361231</v>
      </c>
      <c r="E38" s="0">
        <f t="shared" si="4"/>
        <v>52</v>
      </c>
    </row>
    <row r="39">
      <c r="A39" s="0">
        <f t="shared" si="0"/>
        <v>13881</v>
      </c>
      <c r="B39" s="0">
        <f t="shared" si="1"/>
        <v>28</v>
      </c>
      <c r="C39" s="0">
        <f t="shared" si="2"/>
        <v>752</v>
      </c>
      <c r="D39" s="0">
        <f t="shared" si="3"/>
        <v>19371231</v>
      </c>
      <c r="E39" s="0">
        <f t="shared" si="4"/>
        <v>52</v>
      </c>
    </row>
    <row r="40">
      <c r="A40" s="0">
        <f t="shared" si="0"/>
        <v>14246</v>
      </c>
      <c r="B40" s="0">
        <f t="shared" si="1"/>
        <v>28</v>
      </c>
      <c r="C40" s="0">
        <f t="shared" si="2"/>
        <v>152</v>
      </c>
      <c r="D40" s="0">
        <f t="shared" si="3"/>
        <v>19381231</v>
      </c>
      <c r="E40" s="0">
        <f t="shared" si="4"/>
        <v>52</v>
      </c>
    </row>
    <row r="41">
      <c r="A41" s="0">
        <f t="shared" si="0"/>
        <v>14611</v>
      </c>
      <c r="B41" s="0">
        <f t="shared" si="1"/>
        <v>29</v>
      </c>
      <c r="C41" s="0">
        <f t="shared" si="2"/>
        <v>201</v>
      </c>
      <c r="D41" s="0">
        <f t="shared" si="3"/>
        <v>19391231</v>
      </c>
      <c r="E41" s="0">
        <f t="shared" si="4"/>
        <v>1</v>
      </c>
    </row>
    <row r="42">
      <c r="A42" s="0">
        <f t="shared" si="0"/>
        <v>14977</v>
      </c>
      <c r="B42" s="0">
        <f t="shared" si="1"/>
        <v>28</v>
      </c>
      <c r="C42" s="0">
        <f t="shared" si="2"/>
        <v>401</v>
      </c>
      <c r="D42" s="0">
        <f t="shared" si="3"/>
        <v>19401231</v>
      </c>
      <c r="E42" s="0">
        <f t="shared" si="4"/>
        <v>1</v>
      </c>
    </row>
    <row r="43">
      <c r="A43" s="0">
        <f t="shared" si="0"/>
        <v>15342</v>
      </c>
      <c r="B43" s="0">
        <f t="shared" si="1"/>
        <v>28</v>
      </c>
      <c r="C43" s="0">
        <f t="shared" si="2"/>
        <v>501</v>
      </c>
      <c r="D43" s="0">
        <f t="shared" si="3"/>
        <v>19411231</v>
      </c>
      <c r="E43" s="0">
        <f t="shared" si="4"/>
        <v>53</v>
      </c>
    </row>
    <row r="44">
      <c r="A44" s="0">
        <f t="shared" si="0"/>
        <v>15707</v>
      </c>
      <c r="B44" s="0">
        <f t="shared" si="1"/>
        <v>28</v>
      </c>
      <c r="C44" s="0">
        <f t="shared" si="2"/>
        <v>653</v>
      </c>
      <c r="D44" s="0">
        <f t="shared" si="3"/>
        <v>19421231</v>
      </c>
      <c r="E44" s="0">
        <f t="shared" si="4"/>
        <v>52</v>
      </c>
    </row>
    <row r="45">
      <c r="A45" s="0">
        <f t="shared" si="0"/>
        <v>16072</v>
      </c>
      <c r="B45" s="0">
        <f t="shared" si="1"/>
        <v>29</v>
      </c>
      <c r="C45" s="0">
        <f t="shared" si="2"/>
        <v>752</v>
      </c>
      <c r="D45" s="0">
        <f t="shared" si="3"/>
        <v>19431231</v>
      </c>
      <c r="E45" s="0">
        <f t="shared" si="4"/>
        <v>52</v>
      </c>
    </row>
    <row r="46">
      <c r="A46" s="0">
        <f t="shared" si="0"/>
        <v>16438</v>
      </c>
      <c r="B46" s="0">
        <f t="shared" si="1"/>
        <v>28</v>
      </c>
      <c r="C46" s="0">
        <f t="shared" si="2"/>
        <v>201</v>
      </c>
      <c r="D46" s="0">
        <f t="shared" si="3"/>
        <v>19441231</v>
      </c>
      <c r="E46" s="0">
        <f t="shared" si="4"/>
        <v>1</v>
      </c>
    </row>
    <row r="47">
      <c r="A47" s="0">
        <f t="shared" si="0"/>
        <v>16803</v>
      </c>
      <c r="B47" s="0">
        <f t="shared" si="1"/>
        <v>28</v>
      </c>
      <c r="C47" s="0">
        <f t="shared" si="2"/>
        <v>301</v>
      </c>
      <c r="D47" s="0">
        <f t="shared" si="3"/>
        <v>19451231</v>
      </c>
      <c r="E47" s="0">
        <f t="shared" si="4"/>
        <v>1</v>
      </c>
    </row>
    <row r="48">
      <c r="A48" s="0">
        <f t="shared" si="0"/>
        <v>17168</v>
      </c>
      <c r="B48" s="0">
        <f t="shared" si="1"/>
        <v>28</v>
      </c>
      <c r="C48" s="0">
        <f t="shared" si="2"/>
        <v>401</v>
      </c>
      <c r="D48" s="0">
        <f t="shared" si="3"/>
        <v>19461231</v>
      </c>
      <c r="E48" s="0">
        <f t="shared" si="4"/>
        <v>1</v>
      </c>
    </row>
    <row r="49">
      <c r="A49" s="0">
        <f t="shared" si="0"/>
        <v>17533</v>
      </c>
      <c r="B49" s="0">
        <f t="shared" si="1"/>
        <v>29</v>
      </c>
      <c r="C49" s="0">
        <f t="shared" si="2"/>
        <v>501</v>
      </c>
      <c r="D49" s="0">
        <f t="shared" si="3"/>
        <v>19471231</v>
      </c>
      <c r="E49" s="0">
        <f t="shared" si="4"/>
        <v>53</v>
      </c>
    </row>
    <row r="50">
      <c r="A50" s="0">
        <f t="shared" si="0"/>
        <v>17899</v>
      </c>
      <c r="B50" s="0">
        <f t="shared" si="1"/>
        <v>28</v>
      </c>
      <c r="C50" s="0">
        <f t="shared" si="2"/>
        <v>753</v>
      </c>
      <c r="D50" s="0">
        <f t="shared" si="3"/>
        <v>19481231</v>
      </c>
      <c r="E50" s="0">
        <f t="shared" si="4"/>
        <v>52</v>
      </c>
    </row>
    <row r="51">
      <c r="A51" s="0">
        <f t="shared" si="0"/>
        <v>18264</v>
      </c>
      <c r="B51" s="0">
        <f t="shared" si="1"/>
        <v>28</v>
      </c>
      <c r="C51" s="0">
        <f t="shared" si="2"/>
        <v>152</v>
      </c>
      <c r="D51" s="0">
        <f t="shared" si="3"/>
        <v>19491231</v>
      </c>
      <c r="E51" s="0">
        <f t="shared" si="4"/>
        <v>52</v>
      </c>
    </row>
    <row r="52">
      <c r="A52" s="0">
        <f t="shared" si="0"/>
        <v>18629</v>
      </c>
      <c r="B52" s="0">
        <f t="shared" si="1"/>
        <v>28</v>
      </c>
      <c r="C52" s="0">
        <f t="shared" si="2"/>
        <v>201</v>
      </c>
      <c r="D52" s="0">
        <f t="shared" si="3"/>
        <v>19501231</v>
      </c>
      <c r="E52" s="0">
        <f t="shared" si="4"/>
        <v>1</v>
      </c>
    </row>
    <row r="53">
      <c r="A53" s="0">
        <f t="shared" si="0"/>
        <v>18994</v>
      </c>
      <c r="B53" s="0">
        <f t="shared" si="1"/>
        <v>29</v>
      </c>
      <c r="C53" s="0">
        <f t="shared" si="2"/>
        <v>301</v>
      </c>
      <c r="D53" s="0">
        <f t="shared" si="3"/>
        <v>19511231</v>
      </c>
      <c r="E53" s="0">
        <f t="shared" si="4"/>
        <v>1</v>
      </c>
    </row>
    <row r="54">
      <c r="A54" s="0">
        <f t="shared" si="0"/>
        <v>19360</v>
      </c>
      <c r="B54" s="0">
        <f t="shared" si="1"/>
        <v>28</v>
      </c>
      <c r="C54" s="0">
        <f t="shared" si="2"/>
        <v>501</v>
      </c>
      <c r="D54" s="0">
        <f t="shared" si="3"/>
        <v>19521231</v>
      </c>
      <c r="E54" s="0">
        <f t="shared" si="4"/>
        <v>53</v>
      </c>
    </row>
    <row r="55">
      <c r="A55" s="0">
        <f t="shared" si="0"/>
        <v>19725</v>
      </c>
      <c r="B55" s="0">
        <f t="shared" si="1"/>
        <v>28</v>
      </c>
      <c r="C55" s="0">
        <f t="shared" si="2"/>
        <v>653</v>
      </c>
      <c r="D55" s="0">
        <f t="shared" si="3"/>
        <v>19531231</v>
      </c>
      <c r="E55" s="0">
        <f t="shared" si="4"/>
        <v>52</v>
      </c>
    </row>
    <row r="56">
      <c r="A56" s="0">
        <f t="shared" si="0"/>
        <v>20090</v>
      </c>
      <c r="B56" s="0">
        <f t="shared" si="1"/>
        <v>28</v>
      </c>
      <c r="C56" s="0">
        <f t="shared" si="2"/>
        <v>752</v>
      </c>
      <c r="D56" s="0">
        <f t="shared" si="3"/>
        <v>19541231</v>
      </c>
      <c r="E56" s="0">
        <f t="shared" si="4"/>
        <v>52</v>
      </c>
    </row>
    <row r="57">
      <c r="A57" s="0">
        <f t="shared" si="0"/>
        <v>20455</v>
      </c>
      <c r="B57" s="0">
        <f t="shared" si="1"/>
        <v>29</v>
      </c>
      <c r="C57" s="0">
        <f t="shared" si="2"/>
        <v>152</v>
      </c>
      <c r="D57" s="0">
        <f t="shared" si="3"/>
        <v>19551231</v>
      </c>
      <c r="E57" s="0">
        <f t="shared" si="4"/>
        <v>1</v>
      </c>
    </row>
    <row r="58">
      <c r="A58" s="0">
        <f t="shared" si="0"/>
        <v>20821</v>
      </c>
      <c r="B58" s="0">
        <f t="shared" si="1"/>
        <v>28</v>
      </c>
      <c r="C58" s="0">
        <f t="shared" si="2"/>
        <v>301</v>
      </c>
      <c r="D58" s="0">
        <f t="shared" si="3"/>
        <v>19561231</v>
      </c>
      <c r="E58" s="0">
        <f t="shared" si="4"/>
        <v>1</v>
      </c>
    </row>
    <row r="59">
      <c r="A59" s="0">
        <f t="shared" si="0"/>
        <v>21186</v>
      </c>
      <c r="B59" s="0">
        <f t="shared" si="1"/>
        <v>28</v>
      </c>
      <c r="C59" s="0">
        <f t="shared" si="2"/>
        <v>401</v>
      </c>
      <c r="D59" s="0">
        <f t="shared" si="3"/>
        <v>19571231</v>
      </c>
      <c r="E59" s="0">
        <f t="shared" si="4"/>
        <v>1</v>
      </c>
    </row>
    <row r="60">
      <c r="A60" s="0">
        <f t="shared" si="0"/>
        <v>21551</v>
      </c>
      <c r="B60" s="0">
        <f t="shared" si="1"/>
        <v>28</v>
      </c>
      <c r="C60" s="0">
        <f t="shared" si="2"/>
        <v>501</v>
      </c>
      <c r="D60" s="0">
        <f t="shared" si="3"/>
        <v>19581231</v>
      </c>
      <c r="E60" s="0">
        <f t="shared" si="4"/>
        <v>53</v>
      </c>
    </row>
    <row r="61">
      <c r="A61" s="0">
        <f t="shared" si="0"/>
        <v>21916</v>
      </c>
      <c r="B61" s="0">
        <f t="shared" si="1"/>
        <v>29</v>
      </c>
      <c r="C61" s="0">
        <f t="shared" si="2"/>
        <v>653</v>
      </c>
      <c r="D61" s="0">
        <f t="shared" si="3"/>
        <v>19591231</v>
      </c>
      <c r="E61" s="0">
        <f t="shared" si="4"/>
        <v>52</v>
      </c>
    </row>
    <row r="62">
      <c r="A62" s="0">
        <f t="shared" si="0"/>
        <v>22282</v>
      </c>
      <c r="B62" s="0">
        <f t="shared" si="1"/>
        <v>28</v>
      </c>
      <c r="C62" s="0">
        <f t="shared" si="2"/>
        <v>152</v>
      </c>
      <c r="D62" s="0">
        <f t="shared" si="3"/>
        <v>19601231</v>
      </c>
      <c r="E62" s="0">
        <f t="shared" si="4"/>
        <v>52</v>
      </c>
    </row>
    <row r="63">
      <c r="A63" s="0">
        <f t="shared" si="0"/>
        <v>22647</v>
      </c>
      <c r="B63" s="0">
        <f t="shared" si="1"/>
        <v>28</v>
      </c>
      <c r="C63" s="0">
        <f t="shared" si="2"/>
        <v>201</v>
      </c>
      <c r="D63" s="0">
        <f t="shared" si="3"/>
        <v>19611231</v>
      </c>
      <c r="E63" s="0">
        <f t="shared" si="4"/>
        <v>1</v>
      </c>
    </row>
    <row r="64">
      <c r="A64" s="0">
        <f t="shared" si="0"/>
        <v>23012</v>
      </c>
      <c r="B64" s="0">
        <f t="shared" si="1"/>
        <v>28</v>
      </c>
      <c r="C64" s="0">
        <f t="shared" si="2"/>
        <v>301</v>
      </c>
      <c r="D64" s="0">
        <f t="shared" si="3"/>
        <v>19621231</v>
      </c>
      <c r="E64" s="0">
        <f t="shared" si="4"/>
        <v>1</v>
      </c>
    </row>
    <row r="65">
      <c r="A65" s="0">
        <f t="shared" si="0"/>
        <v>23377</v>
      </c>
      <c r="B65" s="0">
        <f t="shared" si="1"/>
        <v>29</v>
      </c>
      <c r="C65" s="0">
        <f t="shared" si="2"/>
        <v>401</v>
      </c>
      <c r="D65" s="0">
        <f t="shared" si="3"/>
        <v>19631231</v>
      </c>
      <c r="E65" s="0">
        <f t="shared" si="4"/>
        <v>53</v>
      </c>
    </row>
    <row r="66">
      <c r="A66" s="0">
        <f t="shared" si="0"/>
        <v>23743</v>
      </c>
      <c r="B66" s="0">
        <f t="shared" si="1"/>
        <v>28</v>
      </c>
      <c r="C66" s="0">
        <f t="shared" si="2"/>
        <v>653</v>
      </c>
      <c r="D66" s="0">
        <f t="shared" si="3"/>
        <v>19641231</v>
      </c>
      <c r="E66" s="0">
        <f t="shared" si="4"/>
        <v>52</v>
      </c>
    </row>
    <row r="67">
      <c r="A67" s="0">
        <f t="shared" si="0"/>
        <v>24108</v>
      </c>
      <c r="B67" s="0">
        <f t="shared" si="1"/>
        <v>28</v>
      </c>
      <c r="C67" s="0">
        <f t="shared" si="2"/>
        <v>752</v>
      </c>
      <c r="D67" s="0">
        <f t="shared" si="3"/>
        <v>19651231</v>
      </c>
      <c r="E67" s="0">
        <f t="shared" si="4"/>
        <v>52</v>
      </c>
    </row>
    <row r="68">
      <c r="A68" s="0">
        <f t="shared" si="0"/>
        <v>24473</v>
      </c>
      <c r="B68" s="0">
        <f t="shared" si="1"/>
        <v>28</v>
      </c>
      <c r="C68" s="0">
        <f t="shared" si="2"/>
        <v>152</v>
      </c>
      <c r="D68" s="0">
        <f t="shared" si="3"/>
        <v>19661231</v>
      </c>
      <c r="E68" s="0">
        <f t="shared" si="4"/>
        <v>52</v>
      </c>
    </row>
    <row r="69">
      <c r="A69" s="0">
        <f t="shared" si="0"/>
        <v>24838</v>
      </c>
      <c r="B69" s="0">
        <f t="shared" si="1"/>
        <v>29</v>
      </c>
      <c r="C69" s="0">
        <f t="shared" si="2"/>
        <v>201</v>
      </c>
      <c r="D69" s="0">
        <f t="shared" si="3"/>
        <v>19671231</v>
      </c>
      <c r="E69" s="0">
        <f t="shared" si="4"/>
        <v>1</v>
      </c>
    </row>
    <row r="70">
      <c r="A70" s="0">
        <f t="shared" si="0"/>
        <v>25204</v>
      </c>
      <c r="B70" s="0">
        <f t="shared" si="1"/>
        <v>28</v>
      </c>
      <c r="C70" s="0">
        <f t="shared" si="2"/>
        <v>401</v>
      </c>
      <c r="D70" s="0">
        <f t="shared" si="3"/>
        <v>19681231</v>
      </c>
      <c r="E70" s="0">
        <f t="shared" si="4"/>
        <v>1</v>
      </c>
    </row>
    <row r="71">
      <c r="A71" s="0">
        <f t="shared" si="0"/>
        <v>25569</v>
      </c>
      <c r="B71" s="0">
        <f t="shared" si="1"/>
        <v>28</v>
      </c>
      <c r="C71" s="0">
        <f t="shared" si="2"/>
        <v>501</v>
      </c>
      <c r="D71" s="0">
        <f t="shared" si="3"/>
        <v>19691231</v>
      </c>
      <c r="E71" s="0">
        <f t="shared" si="4"/>
        <v>53</v>
      </c>
    </row>
    <row r="72">
      <c r="A72" s="0">
        <f t="shared" si="0"/>
        <v>25934</v>
      </c>
      <c r="B72" s="0">
        <f t="shared" si="1"/>
        <v>28</v>
      </c>
      <c r="C72" s="0">
        <f t="shared" si="2"/>
        <v>653</v>
      </c>
      <c r="D72" s="0">
        <f t="shared" si="3"/>
        <v>19701231</v>
      </c>
      <c r="E72" s="0">
        <f t="shared" si="4"/>
        <v>52</v>
      </c>
    </row>
    <row r="73">
      <c r="A73" s="0">
        <f t="shared" si="0"/>
        <v>26299</v>
      </c>
      <c r="B73" s="0">
        <f t="shared" si="1"/>
        <v>29</v>
      </c>
      <c r="C73" s="0">
        <f t="shared" si="2"/>
        <v>752</v>
      </c>
      <c r="D73" s="0">
        <f t="shared" si="3"/>
        <v>19711231</v>
      </c>
      <c r="E73" s="0">
        <f t="shared" si="4"/>
        <v>52</v>
      </c>
    </row>
    <row r="74">
      <c r="A74" s="0">
        <f t="shared" si="0"/>
        <v>26665</v>
      </c>
      <c r="B74" s="0">
        <f t="shared" si="1"/>
        <v>28</v>
      </c>
      <c r="C74" s="0">
        <f t="shared" si="2"/>
        <v>201</v>
      </c>
      <c r="D74" s="0">
        <f t="shared" si="3"/>
        <v>19721231</v>
      </c>
      <c r="E74" s="0">
        <f t="shared" si="4"/>
        <v>1</v>
      </c>
    </row>
    <row r="75">
      <c r="A75" s="0">
        <f t="shared" si="0"/>
        <v>27030</v>
      </c>
      <c r="B75" s="0">
        <f t="shared" si="1"/>
        <v>28</v>
      </c>
      <c r="C75" s="0">
        <f t="shared" si="2"/>
        <v>301</v>
      </c>
      <c r="D75" s="0">
        <f t="shared" si="3"/>
        <v>19731231</v>
      </c>
      <c r="E75" s="0">
        <f t="shared" si="4"/>
        <v>1</v>
      </c>
    </row>
    <row r="76">
      <c r="A76" s="0">
        <f t="shared" si="0"/>
        <v>27395</v>
      </c>
      <c r="B76" s="0">
        <f t="shared" si="1"/>
        <v>28</v>
      </c>
      <c r="C76" s="0">
        <f t="shared" si="2"/>
        <v>401</v>
      </c>
      <c r="D76" s="0">
        <f t="shared" si="3"/>
        <v>19741231</v>
      </c>
      <c r="E76" s="0">
        <f t="shared" si="4"/>
        <v>1</v>
      </c>
    </row>
    <row r="77">
      <c r="A77" s="0">
        <f t="shared" si="0"/>
        <v>27760</v>
      </c>
      <c r="B77" s="0">
        <f t="shared" si="1"/>
        <v>29</v>
      </c>
      <c r="C77" s="0">
        <f t="shared" si="2"/>
        <v>501</v>
      </c>
      <c r="D77" s="0">
        <f t="shared" si="3"/>
        <v>19751231</v>
      </c>
      <c r="E77" s="0">
        <f t="shared" si="4"/>
        <v>53</v>
      </c>
    </row>
    <row r="78">
      <c r="A78" s="0">
        <f t="shared" si="0"/>
        <v>28126</v>
      </c>
      <c r="B78" s="0">
        <f t="shared" si="1"/>
        <v>28</v>
      </c>
      <c r="C78" s="0">
        <f t="shared" si="2"/>
        <v>753</v>
      </c>
      <c r="D78" s="0">
        <f t="shared" si="3"/>
        <v>19761231</v>
      </c>
      <c r="E78" s="0">
        <f t="shared" si="4"/>
        <v>52</v>
      </c>
    </row>
    <row r="79">
      <c r="A79" s="0">
        <f t="shared" si="0"/>
        <v>28491</v>
      </c>
      <c r="B79" s="0">
        <f t="shared" si="1"/>
        <v>28</v>
      </c>
      <c r="C79" s="0">
        <f t="shared" si="2"/>
        <v>152</v>
      </c>
      <c r="D79" s="0">
        <f t="shared" si="3"/>
        <v>19771231</v>
      </c>
      <c r="E79" s="0">
        <f t="shared" si="4"/>
        <v>52</v>
      </c>
    </row>
    <row r="80">
      <c r="A80" s="0">
        <f t="shared" si="0"/>
        <v>28856</v>
      </c>
      <c r="B80" s="0">
        <f t="shared" si="1"/>
        <v>28</v>
      </c>
      <c r="C80" s="0">
        <f t="shared" si="2"/>
        <v>201</v>
      </c>
      <c r="D80" s="0">
        <f t="shared" si="3"/>
        <v>19781231</v>
      </c>
      <c r="E80" s="0">
        <f t="shared" si="4"/>
        <v>1</v>
      </c>
    </row>
    <row r="81">
      <c r="A81" s="0">
        <f t="shared" si="0"/>
        <v>29221</v>
      </c>
      <c r="B81" s="0">
        <f t="shared" si="1"/>
        <v>29</v>
      </c>
      <c r="C81" s="0">
        <f t="shared" si="2"/>
        <v>301</v>
      </c>
      <c r="D81" s="0">
        <f t="shared" si="3"/>
        <v>19791231</v>
      </c>
      <c r="E81" s="0">
        <f t="shared" si="4"/>
        <v>1</v>
      </c>
    </row>
    <row r="82">
      <c r="A82" s="0">
        <f t="shared" si="0"/>
        <v>29587</v>
      </c>
      <c r="B82" s="0">
        <f t="shared" si="1"/>
        <v>28</v>
      </c>
      <c r="C82" s="0">
        <f t="shared" si="2"/>
        <v>501</v>
      </c>
      <c r="D82" s="0">
        <f t="shared" si="3"/>
        <v>19801231</v>
      </c>
      <c r="E82" s="0">
        <f t="shared" si="4"/>
        <v>53</v>
      </c>
    </row>
    <row r="83">
      <c r="A83" s="0">
        <f t="shared" si="0"/>
        <v>29952</v>
      </c>
      <c r="B83" s="0">
        <f t="shared" si="1"/>
        <v>28</v>
      </c>
      <c r="C83" s="0">
        <f t="shared" si="2"/>
        <v>653</v>
      </c>
      <c r="D83" s="0">
        <f t="shared" si="3"/>
        <v>19811231</v>
      </c>
      <c r="E83" s="0">
        <f t="shared" si="4"/>
        <v>52</v>
      </c>
    </row>
    <row r="84">
      <c r="A84" s="0">
        <f t="shared" si="0"/>
        <v>30317</v>
      </c>
      <c r="B84" s="0">
        <f t="shared" si="1"/>
        <v>28</v>
      </c>
      <c r="C84" s="0">
        <f t="shared" si="2"/>
        <v>752</v>
      </c>
      <c r="D84" s="0">
        <f t="shared" si="3"/>
        <v>19821231</v>
      </c>
      <c r="E84" s="0">
        <f t="shared" si="4"/>
        <v>52</v>
      </c>
    </row>
    <row r="85">
      <c r="A85" s="0">
        <f t="shared" si="0"/>
        <v>30682</v>
      </c>
      <c r="B85" s="0">
        <f t="shared" si="1"/>
        <v>29</v>
      </c>
      <c r="C85" s="0">
        <f t="shared" si="2"/>
        <v>152</v>
      </c>
      <c r="D85" s="0">
        <f t="shared" si="3"/>
        <v>19831231</v>
      </c>
      <c r="E85" s="0">
        <f t="shared" si="4"/>
        <v>1</v>
      </c>
    </row>
    <row r="86">
      <c r="A86" s="0">
        <f t="shared" si="0"/>
        <v>31048</v>
      </c>
      <c r="B86" s="0">
        <f t="shared" si="1"/>
        <v>28</v>
      </c>
      <c r="C86" s="0">
        <f t="shared" si="2"/>
        <v>301</v>
      </c>
      <c r="D86" s="0">
        <f t="shared" si="3"/>
        <v>19841231</v>
      </c>
      <c r="E86" s="0">
        <f t="shared" si="4"/>
        <v>1</v>
      </c>
    </row>
    <row r="87">
      <c r="A87" s="0">
        <f t="shared" si="0"/>
        <v>31413</v>
      </c>
      <c r="B87" s="0">
        <f t="shared" si="1"/>
        <v>28</v>
      </c>
      <c r="C87" s="0">
        <f t="shared" si="2"/>
        <v>401</v>
      </c>
      <c r="D87" s="0">
        <f t="shared" si="3"/>
        <v>19851231</v>
      </c>
      <c r="E87" s="0">
        <f t="shared" si="4"/>
        <v>1</v>
      </c>
    </row>
    <row r="88">
      <c r="A88" s="0">
        <f t="shared" si="0"/>
        <v>31778</v>
      </c>
      <c r="B88" s="0">
        <f t="shared" si="1"/>
        <v>28</v>
      </c>
      <c r="C88" s="0">
        <f t="shared" si="2"/>
        <v>501</v>
      </c>
      <c r="D88" s="0">
        <f t="shared" si="3"/>
        <v>19861231</v>
      </c>
      <c r="E88" s="0">
        <f t="shared" si="4"/>
        <v>53</v>
      </c>
    </row>
    <row r="89">
      <c r="A89" s="0">
        <f t="shared" si="0"/>
        <v>32143</v>
      </c>
      <c r="B89" s="0">
        <f t="shared" si="1"/>
        <v>29</v>
      </c>
      <c r="C89" s="0">
        <f t="shared" si="2"/>
        <v>653</v>
      </c>
      <c r="D89" s="0">
        <f t="shared" si="3"/>
        <v>19871231</v>
      </c>
      <c r="E89" s="0">
        <f t="shared" si="4"/>
        <v>52</v>
      </c>
    </row>
    <row r="90">
      <c r="A90" s="0">
        <f t="shared" si="0"/>
        <v>32509</v>
      </c>
      <c r="B90" s="0">
        <f t="shared" si="1"/>
        <v>28</v>
      </c>
      <c r="C90" s="0">
        <f t="shared" si="2"/>
        <v>152</v>
      </c>
      <c r="D90" s="0">
        <f t="shared" si="3"/>
        <v>19881231</v>
      </c>
      <c r="E90" s="0">
        <f t="shared" si="4"/>
        <v>52</v>
      </c>
    </row>
    <row r="91">
      <c r="A91" s="0">
        <f t="shared" si="0"/>
        <v>32874</v>
      </c>
      <c r="B91" s="0">
        <f t="shared" si="1"/>
        <v>28</v>
      </c>
      <c r="C91" s="0">
        <f t="shared" si="2"/>
        <v>201</v>
      </c>
      <c r="D91" s="0">
        <f t="shared" si="3"/>
        <v>19891231</v>
      </c>
      <c r="E91" s="0">
        <f t="shared" si="4"/>
        <v>1</v>
      </c>
    </row>
    <row r="92">
      <c r="A92" s="0">
        <f t="shared" si="0"/>
        <v>33239</v>
      </c>
      <c r="B92" s="0">
        <f t="shared" si="1"/>
        <v>28</v>
      </c>
      <c r="C92" s="0">
        <f t="shared" si="2"/>
        <v>301</v>
      </c>
      <c r="D92" s="0">
        <f t="shared" si="3"/>
        <v>19901231</v>
      </c>
      <c r="E92" s="0">
        <f t="shared" si="4"/>
        <v>1</v>
      </c>
    </row>
    <row r="93">
      <c r="A93" s="0">
        <f t="shared" si="0"/>
        <v>33604</v>
      </c>
      <c r="B93" s="0">
        <f t="shared" si="1"/>
        <v>29</v>
      </c>
      <c r="C93" s="0">
        <f t="shared" si="2"/>
        <v>401</v>
      </c>
      <c r="D93" s="0">
        <f t="shared" si="3"/>
        <v>19911231</v>
      </c>
      <c r="E93" s="0">
        <f t="shared" si="4"/>
        <v>53</v>
      </c>
    </row>
    <row r="94">
      <c r="A94" s="0">
        <f t="shared" si="0"/>
        <v>33970</v>
      </c>
      <c r="B94" s="0">
        <f t="shared" si="1"/>
        <v>28</v>
      </c>
      <c r="C94" s="0">
        <f t="shared" si="2"/>
        <v>653</v>
      </c>
      <c r="D94" s="0">
        <f t="shared" si="3"/>
        <v>19921231</v>
      </c>
      <c r="E94" s="0">
        <f t="shared" si="4"/>
        <v>52</v>
      </c>
    </row>
    <row r="95">
      <c r="A95" s="0">
        <f t="shared" si="0"/>
        <v>34335</v>
      </c>
      <c r="B95" s="0">
        <f t="shared" si="1"/>
        <v>28</v>
      </c>
      <c r="C95" s="0">
        <f t="shared" si="2"/>
        <v>752</v>
      </c>
      <c r="D95" s="0">
        <f t="shared" si="3"/>
        <v>19931231</v>
      </c>
      <c r="E95" s="0">
        <f t="shared" si="4"/>
        <v>52</v>
      </c>
    </row>
    <row r="96">
      <c r="A96" s="0">
        <f t="shared" si="0"/>
        <v>34700</v>
      </c>
      <c r="B96" s="0">
        <f t="shared" si="1"/>
        <v>28</v>
      </c>
      <c r="C96" s="0">
        <f t="shared" si="2"/>
        <v>152</v>
      </c>
      <c r="D96" s="0">
        <f t="shared" si="3"/>
        <v>19941231</v>
      </c>
      <c r="E96" s="0">
        <f t="shared" si="4"/>
        <v>52</v>
      </c>
    </row>
    <row r="97">
      <c r="A97" s="0">
        <f t="shared" si="0"/>
        <v>35065</v>
      </c>
      <c r="B97" s="0">
        <f t="shared" si="1"/>
        <v>29</v>
      </c>
      <c r="C97" s="0">
        <f t="shared" si="2"/>
        <v>201</v>
      </c>
      <c r="D97" s="0">
        <f t="shared" si="3"/>
        <v>19951231</v>
      </c>
      <c r="E97" s="0">
        <f t="shared" si="4"/>
        <v>1</v>
      </c>
    </row>
    <row r="98">
      <c r="A98" s="0">
        <f t="shared" si="0"/>
        <v>35431</v>
      </c>
      <c r="B98" s="0">
        <f t="shared" si="1"/>
        <v>28</v>
      </c>
      <c r="C98" s="0">
        <f t="shared" si="2"/>
        <v>401</v>
      </c>
      <c r="D98" s="0">
        <f t="shared" si="3"/>
        <v>19961231</v>
      </c>
      <c r="E98" s="0">
        <f t="shared" si="4"/>
        <v>1</v>
      </c>
    </row>
    <row r="99">
      <c r="A99" s="0">
        <f t="shared" si="0"/>
        <v>35796</v>
      </c>
      <c r="B99" s="0">
        <f t="shared" si="1"/>
        <v>28</v>
      </c>
      <c r="C99" s="0">
        <f t="shared" si="2"/>
        <v>501</v>
      </c>
      <c r="D99" s="0">
        <f t="shared" si="3"/>
        <v>19971231</v>
      </c>
      <c r="E99" s="0">
        <f t="shared" si="4"/>
        <v>53</v>
      </c>
    </row>
    <row r="100">
      <c r="A100" s="0">
        <f t="shared" si="0"/>
        <v>36161</v>
      </c>
      <c r="B100" s="0">
        <f t="shared" si="1"/>
        <v>28</v>
      </c>
      <c r="C100" s="0">
        <f t="shared" si="2"/>
        <v>653</v>
      </c>
      <c r="D100" s="0">
        <f t="shared" si="3"/>
        <v>19981231</v>
      </c>
      <c r="E100" s="0">
        <f t="shared" si="4"/>
        <v>52</v>
      </c>
    </row>
    <row r="101">
      <c r="A101" s="0">
        <f t="shared" si="0"/>
        <v>36526</v>
      </c>
      <c r="B101" s="0">
        <f t="shared" si="1"/>
        <v>29</v>
      </c>
      <c r="C101" s="0">
        <f t="shared" si="2"/>
        <v>752</v>
      </c>
      <c r="D101" s="0">
        <f t="shared" si="3"/>
        <v>19991231</v>
      </c>
      <c r="E101" s="0">
        <f t="shared" si="4"/>
        <v>52</v>
      </c>
    </row>
    <row r="102">
      <c r="A102" s="0">
        <f t="shared" si="0"/>
        <v>36892</v>
      </c>
      <c r="B102" s="0">
        <f t="shared" si="1"/>
        <v>28</v>
      </c>
      <c r="C102" s="0">
        <f t="shared" si="2"/>
        <v>201</v>
      </c>
      <c r="D102" s="0">
        <f t="shared" si="3"/>
        <v>20001231</v>
      </c>
      <c r="E102" s="0">
        <f t="shared" si="4"/>
        <v>1</v>
      </c>
    </row>
    <row r="103">
      <c r="A103" s="0">
        <f t="shared" si="0"/>
        <v>37257</v>
      </c>
      <c r="B103" s="0">
        <f t="shared" si="1"/>
        <v>28</v>
      </c>
      <c r="C103" s="0">
        <f t="shared" si="2"/>
        <v>301</v>
      </c>
      <c r="D103" s="0">
        <f t="shared" si="3"/>
        <v>20011231</v>
      </c>
      <c r="E103" s="0">
        <f t="shared" si="4"/>
        <v>1</v>
      </c>
    </row>
    <row r="104">
      <c r="A104" s="0">
        <f t="shared" si="0"/>
        <v>37622</v>
      </c>
      <c r="B104" s="0">
        <f t="shared" si="1"/>
        <v>28</v>
      </c>
      <c r="C104" s="0">
        <f t="shared" si="2"/>
        <v>401</v>
      </c>
      <c r="D104" s="0">
        <f t="shared" si="3"/>
        <v>20021231</v>
      </c>
      <c r="E104" s="0">
        <f t="shared" si="4"/>
        <v>1</v>
      </c>
    </row>
    <row r="105">
      <c r="A105" s="0">
        <f t="shared" si="0"/>
        <v>37987</v>
      </c>
      <c r="B105" s="0">
        <f t="shared" si="1"/>
        <v>29</v>
      </c>
      <c r="C105" s="0">
        <f t="shared" si="2"/>
        <v>501</v>
      </c>
      <c r="D105" s="0">
        <f t="shared" si="3"/>
        <v>20031231</v>
      </c>
      <c r="E105" s="0">
        <f t="shared" si="4"/>
        <v>53</v>
      </c>
    </row>
    <row r="106">
      <c r="A106" s="0">
        <f t="shared" si="0"/>
        <v>38353</v>
      </c>
      <c r="B106" s="0">
        <f t="shared" si="1"/>
        <v>28</v>
      </c>
      <c r="C106" s="0">
        <f t="shared" si="2"/>
        <v>753</v>
      </c>
      <c r="D106" s="0">
        <f t="shared" si="3"/>
        <v>20041231</v>
      </c>
      <c r="E106" s="0">
        <f t="shared" si="4"/>
        <v>52</v>
      </c>
    </row>
    <row r="107">
      <c r="A107" s="0">
        <f t="shared" si="0"/>
        <v>38718</v>
      </c>
      <c r="B107" s="0">
        <f t="shared" si="1"/>
        <v>28</v>
      </c>
      <c r="C107" s="0">
        <f t="shared" si="2"/>
        <v>152</v>
      </c>
      <c r="D107" s="0">
        <f t="shared" si="3"/>
        <v>20051231</v>
      </c>
      <c r="E107" s="0">
        <f t="shared" si="4"/>
        <v>52</v>
      </c>
    </row>
    <row r="108">
      <c r="A108" s="0">
        <f t="shared" si="0"/>
        <v>39083</v>
      </c>
      <c r="B108" s="0">
        <f t="shared" si="1"/>
        <v>28</v>
      </c>
      <c r="C108" s="0">
        <f t="shared" si="2"/>
        <v>201</v>
      </c>
      <c r="D108" s="0">
        <f t="shared" si="3"/>
        <v>20061231</v>
      </c>
      <c r="E108" s="0">
        <f t="shared" si="4"/>
        <v>1</v>
      </c>
    </row>
    <row r="109">
      <c r="A109" s="0">
        <f t="shared" si="0"/>
        <v>39448</v>
      </c>
      <c r="B109" s="0">
        <f t="shared" si="1"/>
        <v>29</v>
      </c>
      <c r="C109" s="0">
        <f t="shared" si="2"/>
        <v>301</v>
      </c>
      <c r="D109" s="0">
        <f t="shared" si="3"/>
        <v>20071231</v>
      </c>
      <c r="E109" s="0">
        <f t="shared" si="4"/>
        <v>1</v>
      </c>
    </row>
    <row r="110">
      <c r="A110" s="0">
        <f t="shared" si="0"/>
        <v>39814</v>
      </c>
      <c r="B110" s="0">
        <f t="shared" si="1"/>
        <v>28</v>
      </c>
      <c r="C110" s="0">
        <f t="shared" si="2"/>
        <v>501</v>
      </c>
      <c r="D110" s="0">
        <f t="shared" si="3"/>
        <v>20081231</v>
      </c>
      <c r="E110" s="0">
        <f t="shared" si="4"/>
        <v>53</v>
      </c>
    </row>
    <row r="111">
      <c r="A111" s="0">
        <f t="shared" si="0"/>
        <v>40179</v>
      </c>
      <c r="B111" s="0">
        <f t="shared" si="1"/>
        <v>28</v>
      </c>
      <c r="C111" s="0">
        <f t="shared" si="2"/>
        <v>653</v>
      </c>
      <c r="D111" s="0">
        <f t="shared" si="3"/>
        <v>20091231</v>
      </c>
      <c r="E111" s="0">
        <f t="shared" si="4"/>
        <v>52</v>
      </c>
    </row>
    <row r="112">
      <c r="A112" s="0">
        <f t="shared" si="0"/>
        <v>40544</v>
      </c>
      <c r="B112" s="0">
        <f t="shared" si="1"/>
        <v>28</v>
      </c>
      <c r="C112" s="0">
        <f t="shared" si="2"/>
        <v>752</v>
      </c>
      <c r="D112" s="0">
        <f t="shared" si="3"/>
        <v>20101231</v>
      </c>
      <c r="E112" s="0">
        <f t="shared" si="4"/>
        <v>52</v>
      </c>
    </row>
    <row r="113">
      <c r="A113" s="0">
        <f t="shared" si="0"/>
        <v>40909</v>
      </c>
      <c r="B113" s="0">
        <f t="shared" si="1"/>
        <v>29</v>
      </c>
      <c r="C113" s="0">
        <f t="shared" si="2"/>
        <v>152</v>
      </c>
      <c r="D113" s="0">
        <f t="shared" si="3"/>
        <v>20111231</v>
      </c>
      <c r="E113" s="0">
        <f t="shared" si="4"/>
        <v>1</v>
      </c>
    </row>
    <row r="114">
      <c r="A114" s="0">
        <f t="shared" si="0"/>
        <v>41275</v>
      </c>
      <c r="B114" s="0">
        <f t="shared" si="1"/>
        <v>28</v>
      </c>
      <c r="C114" s="0">
        <f t="shared" si="2"/>
        <v>301</v>
      </c>
      <c r="D114" s="0">
        <f t="shared" si="3"/>
        <v>20121231</v>
      </c>
      <c r="E114" s="0">
        <f t="shared" si="4"/>
        <v>1</v>
      </c>
    </row>
    <row r="115">
      <c r="A115" s="0">
        <f t="shared" si="0"/>
        <v>41640</v>
      </c>
      <c r="B115" s="0">
        <f t="shared" si="1"/>
        <v>28</v>
      </c>
      <c r="C115" s="0">
        <f t="shared" si="2"/>
        <v>401</v>
      </c>
      <c r="D115" s="0">
        <f t="shared" si="3"/>
        <v>20131231</v>
      </c>
      <c r="E115" s="0">
        <f t="shared" si="4"/>
        <v>1</v>
      </c>
    </row>
    <row r="116">
      <c r="A116" s="0">
        <f t="shared" si="0"/>
        <v>42005</v>
      </c>
      <c r="B116" s="0">
        <f t="shared" si="1"/>
        <v>28</v>
      </c>
      <c r="C116" s="0">
        <f t="shared" si="2"/>
        <v>501</v>
      </c>
      <c r="D116" s="0">
        <f t="shared" si="3"/>
        <v>20141231</v>
      </c>
      <c r="E116" s="0">
        <f t="shared" si="4"/>
        <v>53</v>
      </c>
    </row>
    <row r="117">
      <c r="A117" s="0">
        <f t="shared" si="0"/>
        <v>42370</v>
      </c>
      <c r="B117" s="0">
        <f t="shared" si="1"/>
        <v>29</v>
      </c>
      <c r="C117" s="0">
        <f t="shared" si="2"/>
        <v>653</v>
      </c>
      <c r="D117" s="0">
        <f t="shared" si="3"/>
        <v>20151231</v>
      </c>
      <c r="E117" s="0">
        <f t="shared" si="4"/>
        <v>52</v>
      </c>
    </row>
    <row r="118">
      <c r="A118" s="0">
        <f t="shared" si="0"/>
        <v>42736</v>
      </c>
      <c r="B118" s="0">
        <f t="shared" si="1"/>
        <v>28</v>
      </c>
      <c r="C118" s="0">
        <f t="shared" si="2"/>
        <v>152</v>
      </c>
      <c r="D118" s="0">
        <f t="shared" si="3"/>
        <v>20161231</v>
      </c>
      <c r="E118" s="0">
        <f t="shared" si="4"/>
        <v>52</v>
      </c>
    </row>
    <row r="119">
      <c r="A119" s="0">
        <f t="shared" si="0"/>
        <v>43101</v>
      </c>
      <c r="B119" s="0">
        <f t="shared" si="1"/>
        <v>28</v>
      </c>
      <c r="C119" s="0">
        <f t="shared" si="2"/>
        <v>201</v>
      </c>
      <c r="D119" s="0">
        <f t="shared" si="3"/>
        <v>20171231</v>
      </c>
      <c r="E119" s="0">
        <f t="shared" si="4"/>
        <v>1</v>
      </c>
    </row>
    <row r="120">
      <c r="A120" s="0">
        <f t="shared" si="0"/>
        <v>43466</v>
      </c>
      <c r="B120" s="0">
        <f t="shared" si="1"/>
        <v>28</v>
      </c>
      <c r="C120" s="0">
        <f t="shared" si="2"/>
        <v>301</v>
      </c>
      <c r="D120" s="0">
        <f t="shared" si="3"/>
        <v>20181231</v>
      </c>
      <c r="E120" s="0">
        <f t="shared" si="4"/>
        <v>1</v>
      </c>
    </row>
    <row r="121">
      <c r="A121" s="0">
        <f t="shared" si="0"/>
        <v>43831</v>
      </c>
      <c r="B121" s="0">
        <f t="shared" si="1"/>
        <v>29</v>
      </c>
      <c r="C121" s="0">
        <f t="shared" si="2"/>
        <v>401</v>
      </c>
      <c r="D121" s="0">
        <f t="shared" si="3"/>
        <v>20191231</v>
      </c>
      <c r="E121" s="0">
        <f t="shared" si="4"/>
        <v>53</v>
      </c>
    </row>
    <row r="122">
      <c r="A122" s="0">
        <f t="shared" si="0"/>
        <v>44197</v>
      </c>
      <c r="B122" s="0">
        <f t="shared" si="1"/>
        <v>28</v>
      </c>
      <c r="C122" s="0">
        <f t="shared" si="2"/>
        <v>653</v>
      </c>
      <c r="D122" s="0">
        <f t="shared" si="3"/>
        <v>20201231</v>
      </c>
      <c r="E122" s="0">
        <f t="shared" si="4"/>
        <v>52</v>
      </c>
    </row>
    <row r="123">
      <c r="A123" s="0">
        <f t="shared" si="0"/>
        <v>44562</v>
      </c>
      <c r="B123" s="0">
        <f t="shared" si="1"/>
        <v>28</v>
      </c>
      <c r="C123" s="0">
        <f t="shared" si="2"/>
        <v>752</v>
      </c>
      <c r="D123" s="0">
        <f t="shared" si="3"/>
        <v>20211231</v>
      </c>
      <c r="E123" s="0">
        <f t="shared" si="4"/>
        <v>52</v>
      </c>
    </row>
    <row r="124">
      <c r="A124" s="0">
        <f t="shared" si="0"/>
        <v>44927</v>
      </c>
      <c r="B124" s="0">
        <f t="shared" si="1"/>
        <v>28</v>
      </c>
      <c r="C124" s="0">
        <f t="shared" si="2"/>
        <v>152</v>
      </c>
      <c r="D124" s="0">
        <f t="shared" si="3"/>
        <v>20221231</v>
      </c>
      <c r="E124" s="0">
        <f t="shared" si="4"/>
        <v>52</v>
      </c>
    </row>
    <row r="125">
      <c r="A125" s="0">
        <f t="shared" si="0"/>
        <v>45292</v>
      </c>
      <c r="B125" s="0">
        <f t="shared" si="1"/>
        <v>29</v>
      </c>
      <c r="C125" s="0">
        <f t="shared" si="2"/>
        <v>201</v>
      </c>
      <c r="D125" s="0">
        <f t="shared" si="3"/>
        <v>20231231</v>
      </c>
      <c r="E125" s="0">
        <f t="shared" si="4"/>
        <v>1</v>
      </c>
    </row>
    <row r="126">
      <c r="A126" s="0">
        <f t="shared" si="0"/>
        <v>45658</v>
      </c>
      <c r="B126" s="0">
        <f t="shared" si="1"/>
        <v>28</v>
      </c>
      <c r="C126" s="0">
        <f t="shared" si="2"/>
        <v>401</v>
      </c>
      <c r="D126" s="0">
        <f t="shared" si="3"/>
        <v>20241231</v>
      </c>
      <c r="E126" s="0">
        <f t="shared" si="4"/>
        <v>1</v>
      </c>
    </row>
    <row r="127">
      <c r="A127" s="0">
        <f t="shared" si="0"/>
        <v>46023</v>
      </c>
      <c r="B127" s="0">
        <f t="shared" si="1"/>
        <v>28</v>
      </c>
      <c r="C127" s="0">
        <f t="shared" si="2"/>
        <v>501</v>
      </c>
      <c r="D127" s="0">
        <f t="shared" si="3"/>
        <v>20251231</v>
      </c>
      <c r="E127" s="0">
        <f t="shared" si="4"/>
        <v>53</v>
      </c>
    </row>
    <row r="128">
      <c r="A128" s="0">
        <f t="shared" si="0"/>
        <v>46388</v>
      </c>
      <c r="B128" s="0">
        <f t="shared" si="1"/>
        <v>28</v>
      </c>
      <c r="C128" s="0">
        <f t="shared" si="2"/>
        <v>653</v>
      </c>
      <c r="D128" s="0">
        <f t="shared" si="3"/>
        <v>20261231</v>
      </c>
      <c r="E128" s="0">
        <f t="shared" si="4"/>
        <v>52</v>
      </c>
    </row>
    <row r="129">
      <c r="A129" s="0">
        <f t="shared" si="0"/>
        <v>46753</v>
      </c>
      <c r="B129" s="0">
        <f t="shared" si="1"/>
        <v>29</v>
      </c>
      <c r="C129" s="0">
        <f t="shared" si="2"/>
        <v>752</v>
      </c>
      <c r="D129" s="0">
        <f t="shared" si="3"/>
        <v>20271231</v>
      </c>
      <c r="E129" s="0">
        <f t="shared" si="4"/>
        <v>52</v>
      </c>
    </row>
    <row r="130">
      <c r="A130" s="0">
        <f t="shared" si="0"/>
        <v>47119</v>
      </c>
      <c r="B130" s="0">
        <f t="shared" si="1"/>
        <v>28</v>
      </c>
      <c r="C130" s="0">
        <f t="shared" si="2"/>
        <v>201</v>
      </c>
      <c r="D130" s="0">
        <f t="shared" si="3"/>
        <v>20281231</v>
      </c>
      <c r="E130" s="0">
        <f t="shared" si="4"/>
        <v>1</v>
      </c>
    </row>
    <row r="131">
      <c r="A131" s="0">
        <f t="shared" si="0"/>
        <v>47484</v>
      </c>
      <c r="B131" s="0">
        <f t="shared" si="1"/>
        <v>28</v>
      </c>
      <c r="C131" s="0">
        <f t="shared" si="2"/>
        <v>301</v>
      </c>
      <c r="D131" s="0">
        <f t="shared" si="3"/>
        <v>20291231</v>
      </c>
      <c r="E131" s="0">
        <f t="shared" si="4"/>
        <v>1</v>
      </c>
    </row>
    <row r="132">
      <c r="A132" s="0">
        <f t="shared" si="0"/>
        <v>47849</v>
      </c>
      <c r="B132" s="0">
        <f t="shared" si="1"/>
        <v>28</v>
      </c>
      <c r="C132" s="0">
        <f t="shared" si="2"/>
        <v>401</v>
      </c>
      <c r="D132" s="0">
        <f t="shared" si="3"/>
        <v>20301231</v>
      </c>
      <c r="E132" s="0">
        <f t="shared" si="4"/>
        <v>1</v>
      </c>
    </row>
    <row r="133">
      <c r="A133" s="0">
        <f t="shared" si="0"/>
        <v>48214</v>
      </c>
      <c r="B133" s="0">
        <f t="shared" si="1"/>
        <v>29</v>
      </c>
      <c r="C133" s="0">
        <f t="shared" si="2"/>
        <v>501</v>
      </c>
      <c r="D133" s="0">
        <f t="shared" si="3"/>
        <v>20311231</v>
      </c>
      <c r="E133" s="0">
        <f t="shared" si="4"/>
        <v>53</v>
      </c>
    </row>
    <row r="134">
      <c r="A134" s="0">
        <f t="shared" si="0"/>
        <v>48580</v>
      </c>
      <c r="B134" s="0">
        <f t="shared" si="1"/>
        <v>28</v>
      </c>
      <c r="C134" s="0">
        <f t="shared" si="2"/>
        <v>753</v>
      </c>
      <c r="D134" s="0">
        <f t="shared" si="3"/>
        <v>20321231</v>
      </c>
      <c r="E134" s="0">
        <f t="shared" si="4"/>
        <v>52</v>
      </c>
    </row>
    <row r="135">
      <c r="A135" s="0">
        <f t="shared" si="0"/>
        <v>48945</v>
      </c>
      <c r="B135" s="0">
        <f t="shared" si="1"/>
        <v>28</v>
      </c>
      <c r="C135" s="0">
        <f t="shared" si="2"/>
        <v>152</v>
      </c>
      <c r="D135" s="0">
        <f t="shared" si="3"/>
        <v>20331231</v>
      </c>
      <c r="E135" s="0">
        <f t="shared" si="4"/>
        <v>52</v>
      </c>
    </row>
    <row r="136">
      <c r="A136" s="0">
        <f t="shared" si="0"/>
        <v>49310</v>
      </c>
      <c r="B136" s="0">
        <f t="shared" si="1"/>
        <v>28</v>
      </c>
      <c r="C136" s="0">
        <f t="shared" si="2"/>
        <v>201</v>
      </c>
      <c r="D136" s="0">
        <f t="shared" si="3"/>
        <v>20341231</v>
      </c>
      <c r="E136" s="0">
        <f t="shared" si="4"/>
        <v>1</v>
      </c>
    </row>
    <row r="137">
      <c r="A137" s="0">
        <f t="shared" si="0"/>
        <v>49675</v>
      </c>
      <c r="B137" s="0">
        <f t="shared" si="1"/>
        <v>29</v>
      </c>
      <c r="C137" s="0">
        <f t="shared" si="2"/>
        <v>301</v>
      </c>
      <c r="D137" s="0">
        <f t="shared" si="3"/>
        <v>20351231</v>
      </c>
      <c r="E137" s="0">
        <f t="shared" si="4"/>
        <v>1</v>
      </c>
    </row>
    <row r="138">
      <c r="A138" s="0">
        <f t="shared" si="0"/>
        <v>50041</v>
      </c>
      <c r="B138" s="0">
        <f t="shared" si="1"/>
        <v>28</v>
      </c>
      <c r="C138" s="0">
        <f t="shared" si="2"/>
        <v>501</v>
      </c>
      <c r="D138" s="0">
        <f t="shared" si="3"/>
        <v>20361231</v>
      </c>
      <c r="E138" s="0">
        <f t="shared" si="4"/>
        <v>53</v>
      </c>
    </row>
    <row r="139">
      <c r="A139" s="0">
        <f t="shared" si="0"/>
        <v>50406</v>
      </c>
      <c r="B139" s="0">
        <f t="shared" si="1"/>
        <v>28</v>
      </c>
      <c r="C139" s="0">
        <f t="shared" si="2"/>
        <v>653</v>
      </c>
      <c r="D139" s="0">
        <f t="shared" si="3"/>
        <v>20371231</v>
      </c>
      <c r="E139" s="0">
        <f t="shared" si="4"/>
        <v>52</v>
      </c>
    </row>
    <row r="140">
      <c r="A140" s="0">
        <f t="shared" si="0"/>
        <v>50771</v>
      </c>
      <c r="B140" s="0">
        <f t="shared" si="1"/>
        <v>28</v>
      </c>
      <c r="C140" s="0">
        <f t="shared" si="2"/>
        <v>752</v>
      </c>
      <c r="D140" s="0">
        <f t="shared" si="3"/>
        <v>20381231</v>
      </c>
      <c r="E140" s="0">
        <f t="shared" si="4"/>
        <v>52</v>
      </c>
    </row>
    <row r="141">
      <c r="A141" s="0">
        <f t="shared" si="0"/>
        <v>51136</v>
      </c>
      <c r="B141" s="0">
        <f t="shared" si="1"/>
        <v>29</v>
      </c>
      <c r="C141" s="0">
        <f t="shared" si="2"/>
        <v>152</v>
      </c>
      <c r="D141" s="0">
        <f t="shared" si="3"/>
        <v>20391231</v>
      </c>
      <c r="E141" s="0">
        <f t="shared" si="4"/>
        <v>1</v>
      </c>
    </row>
    <row r="142">
      <c r="A142" s="0">
        <f t="shared" si="0"/>
        <v>51502</v>
      </c>
      <c r="B142" s="0">
        <f t="shared" si="1"/>
        <v>28</v>
      </c>
      <c r="C142" s="0">
        <f t="shared" si="2"/>
        <v>301</v>
      </c>
      <c r="D142" s="0">
        <f t="shared" si="3"/>
        <v>20401231</v>
      </c>
      <c r="E142" s="0">
        <f t="shared" si="4"/>
        <v>1</v>
      </c>
    </row>
    <row r="143">
      <c r="A143" s="0">
        <f t="shared" si="0"/>
        <v>51867</v>
      </c>
      <c r="B143" s="0">
        <f t="shared" si="1"/>
        <v>28</v>
      </c>
      <c r="C143" s="0">
        <f t="shared" si="2"/>
        <v>401</v>
      </c>
      <c r="D143" s="0">
        <f t="shared" si="3"/>
        <v>20411231</v>
      </c>
      <c r="E143" s="0">
        <f t="shared" si="4"/>
        <v>1</v>
      </c>
    </row>
    <row r="144">
      <c r="A144" s="0">
        <f t="shared" si="0"/>
        <v>52232</v>
      </c>
      <c r="B144" s="0">
        <f t="shared" si="1"/>
        <v>28</v>
      </c>
      <c r="C144" s="0">
        <f t="shared" si="2"/>
        <v>501</v>
      </c>
      <c r="D144" s="0">
        <f t="shared" si="3"/>
        <v>20421231</v>
      </c>
      <c r="E144" s="0">
        <f t="shared" si="4"/>
        <v>53</v>
      </c>
    </row>
    <row r="145">
      <c r="A145" s="0">
        <f t="shared" si="0"/>
        <v>52597</v>
      </c>
      <c r="B145" s="0">
        <f t="shared" si="1"/>
        <v>29</v>
      </c>
      <c r="C145" s="0">
        <f t="shared" si="2"/>
        <v>653</v>
      </c>
      <c r="D145" s="0">
        <f t="shared" si="3"/>
        <v>20431231</v>
      </c>
      <c r="E145" s="0">
        <f t="shared" si="4"/>
        <v>52</v>
      </c>
    </row>
    <row r="146">
      <c r="A146" s="0">
        <f t="shared" si="0"/>
        <v>52963</v>
      </c>
      <c r="B146" s="0">
        <f t="shared" si="1"/>
        <v>28</v>
      </c>
      <c r="C146" s="0">
        <f t="shared" si="2"/>
        <v>152</v>
      </c>
      <c r="D146" s="0">
        <f t="shared" si="3"/>
        <v>20441231</v>
      </c>
      <c r="E146" s="0">
        <f t="shared" si="4"/>
        <v>52</v>
      </c>
    </row>
    <row r="147">
      <c r="A147" s="0">
        <f t="shared" si="0"/>
        <v>53328</v>
      </c>
      <c r="B147" s="0">
        <f t="shared" si="1"/>
        <v>28</v>
      </c>
      <c r="C147" s="0">
        <f t="shared" si="2"/>
        <v>201</v>
      </c>
      <c r="D147" s="0">
        <f t="shared" si="3"/>
        <v>20451231</v>
      </c>
      <c r="E147" s="0">
        <f t="shared" si="4"/>
        <v>1</v>
      </c>
    </row>
    <row r="148">
      <c r="A148" s="0">
        <f t="shared" si="0"/>
        <v>53693</v>
      </c>
      <c r="B148" s="0">
        <f t="shared" si="1"/>
        <v>28</v>
      </c>
      <c r="C148" s="0">
        <f t="shared" si="2"/>
        <v>301</v>
      </c>
      <c r="D148" s="0">
        <f t="shared" si="3"/>
        <v>20461231</v>
      </c>
      <c r="E148" s="0">
        <f t="shared" si="4"/>
        <v>1</v>
      </c>
    </row>
    <row r="149">
      <c r="A149" s="0">
        <f t="shared" si="0"/>
        <v>54058</v>
      </c>
      <c r="B149" s="0">
        <f t="shared" si="1"/>
        <v>29</v>
      </c>
      <c r="C149" s="0">
        <f t="shared" si="2"/>
        <v>401</v>
      </c>
      <c r="D149" s="0">
        <f t="shared" si="3"/>
        <v>20471231</v>
      </c>
      <c r="E149" s="0">
        <f t="shared" si="4"/>
        <v>53</v>
      </c>
    </row>
    <row r="150">
      <c r="A150" s="0">
        <f t="shared" si="0"/>
        <v>54424</v>
      </c>
      <c r="B150" s="0">
        <f t="shared" si="1"/>
        <v>28</v>
      </c>
      <c r="C150" s="0">
        <f t="shared" si="2"/>
        <v>653</v>
      </c>
      <c r="D150" s="0">
        <f t="shared" si="3"/>
        <v>20481231</v>
      </c>
      <c r="E150" s="0">
        <f t="shared" si="4"/>
        <v>52</v>
      </c>
    </row>
    <row r="151">
      <c r="A151" s="0">
        <f t="shared" si="0"/>
        <v>54789</v>
      </c>
      <c r="B151" s="0">
        <f t="shared" si="1"/>
        <v>28</v>
      </c>
      <c r="C151" s="0">
        <f t="shared" si="2"/>
        <v>752</v>
      </c>
      <c r="D151" s="0">
        <f t="shared" si="3"/>
        <v>20491231</v>
      </c>
      <c r="E151" s="0">
        <f t="shared" si="4"/>
        <v>52</v>
      </c>
    </row>
    <row r="152">
      <c r="A152" s="0">
        <f t="shared" si="0"/>
        <v>55154</v>
      </c>
      <c r="B152" s="0">
        <f t="shared" si="1"/>
        <v>28</v>
      </c>
      <c r="C152" s="0">
        <f t="shared" si="2"/>
        <v>152</v>
      </c>
      <c r="D152" s="0">
        <f t="shared" si="3"/>
        <v>20501231</v>
      </c>
      <c r="E152" s="0">
        <f t="shared" si="4"/>
        <v>52</v>
      </c>
    </row>
    <row r="153">
      <c r="A153" s="0">
        <f t="shared" si="0"/>
        <v>55519</v>
      </c>
      <c r="B153" s="0">
        <f t="shared" si="1"/>
        <v>29</v>
      </c>
      <c r="C153" s="0">
        <f t="shared" si="2"/>
        <v>201</v>
      </c>
      <c r="D153" s="0">
        <f t="shared" si="3"/>
        <v>20511231</v>
      </c>
      <c r="E153" s="0">
        <f t="shared" si="4"/>
        <v>1</v>
      </c>
    </row>
    <row r="154">
      <c r="A154" s="0">
        <f t="shared" si="0"/>
        <v>55885</v>
      </c>
      <c r="B154" s="0">
        <f t="shared" si="1"/>
        <v>28</v>
      </c>
      <c r="C154" s="0">
        <f t="shared" si="2"/>
        <v>401</v>
      </c>
      <c r="D154" s="0">
        <f t="shared" si="3"/>
        <v>20521231</v>
      </c>
      <c r="E154" s="0">
        <f t="shared" si="4"/>
        <v>1</v>
      </c>
    </row>
    <row r="155">
      <c r="A155" s="0">
        <f t="shared" si="0"/>
        <v>56250</v>
      </c>
      <c r="B155" s="0">
        <f t="shared" si="1"/>
        <v>28</v>
      </c>
      <c r="C155" s="0">
        <f t="shared" si="2"/>
        <v>501</v>
      </c>
      <c r="D155" s="0">
        <f t="shared" si="3"/>
        <v>20531231</v>
      </c>
      <c r="E155" s="0">
        <f t="shared" si="4"/>
        <v>53</v>
      </c>
    </row>
    <row r="156">
      <c r="A156" s="0">
        <f t="shared" si="0"/>
        <v>56615</v>
      </c>
      <c r="B156" s="0">
        <f t="shared" si="1"/>
        <v>28</v>
      </c>
      <c r="C156" s="0">
        <f t="shared" si="2"/>
        <v>653</v>
      </c>
      <c r="D156" s="0">
        <f t="shared" si="3"/>
        <v>20541231</v>
      </c>
      <c r="E156" s="0">
        <f t="shared" si="4"/>
        <v>52</v>
      </c>
    </row>
    <row r="157">
      <c r="A157" s="0">
        <f t="shared" si="0"/>
        <v>56980</v>
      </c>
      <c r="B157" s="0">
        <f t="shared" si="1"/>
        <v>29</v>
      </c>
      <c r="C157" s="0">
        <f t="shared" si="2"/>
        <v>752</v>
      </c>
      <c r="D157" s="0">
        <f t="shared" si="3"/>
        <v>20551231</v>
      </c>
      <c r="E157" s="0">
        <f t="shared" si="4"/>
        <v>52</v>
      </c>
    </row>
    <row r="158">
      <c r="A158" s="0">
        <f t="shared" si="0"/>
        <v>57346</v>
      </c>
      <c r="B158" s="0">
        <f t="shared" si="1"/>
        <v>28</v>
      </c>
      <c r="C158" s="0">
        <f t="shared" si="2"/>
        <v>201</v>
      </c>
      <c r="D158" s="0">
        <f t="shared" si="3"/>
        <v>20561231</v>
      </c>
      <c r="E158" s="0">
        <f t="shared" si="4"/>
        <v>1</v>
      </c>
    </row>
    <row r="159">
      <c r="A159" s="0">
        <f t="shared" si="0"/>
        <v>57711</v>
      </c>
      <c r="B159" s="0">
        <f t="shared" si="1"/>
        <v>28</v>
      </c>
      <c r="C159" s="0">
        <f t="shared" si="2"/>
        <v>301</v>
      </c>
      <c r="D159" s="0">
        <f t="shared" si="3"/>
        <v>20571231</v>
      </c>
      <c r="E159" s="0">
        <f t="shared" si="4"/>
        <v>1</v>
      </c>
    </row>
    <row r="160">
      <c r="A160" s="0">
        <f t="shared" si="0"/>
        <v>58076</v>
      </c>
      <c r="B160" s="0">
        <f t="shared" si="1"/>
        <v>28</v>
      </c>
      <c r="C160" s="0">
        <f t="shared" si="2"/>
        <v>401</v>
      </c>
      <c r="D160" s="0">
        <f t="shared" si="3"/>
        <v>20581231</v>
      </c>
      <c r="E160" s="0">
        <f t="shared" si="4"/>
        <v>1</v>
      </c>
    </row>
    <row r="161">
      <c r="A161" s="0">
        <f t="shared" si="0"/>
        <v>58441</v>
      </c>
      <c r="B161" s="0">
        <f t="shared" si="1"/>
        <v>29</v>
      </c>
      <c r="C161" s="0">
        <f t="shared" si="2"/>
        <v>501</v>
      </c>
      <c r="D161" s="0">
        <f t="shared" si="3"/>
        <v>20591231</v>
      </c>
      <c r="E161" s="0">
        <f t="shared" si="4"/>
        <v>53</v>
      </c>
    </row>
    <row r="162">
      <c r="A162" s="0">
        <f t="shared" si="0"/>
        <v>58807</v>
      </c>
      <c r="B162" s="0">
        <f t="shared" si="1"/>
        <v>28</v>
      </c>
      <c r="C162" s="0">
        <f t="shared" si="2"/>
        <v>753</v>
      </c>
      <c r="D162" s="0">
        <f t="shared" si="3"/>
        <v>20601231</v>
      </c>
      <c r="E162" s="0">
        <f t="shared" si="4"/>
        <v>52</v>
      </c>
    </row>
    <row r="163">
      <c r="A163" s="0">
        <f t="shared" si="0"/>
        <v>59172</v>
      </c>
      <c r="B163" s="0">
        <f t="shared" si="1"/>
        <v>28</v>
      </c>
      <c r="C163" s="0">
        <f t="shared" si="2"/>
        <v>152</v>
      </c>
      <c r="D163" s="0">
        <f t="shared" si="3"/>
        <v>20611231</v>
      </c>
      <c r="E163" s="0">
        <f t="shared" si="4"/>
        <v>52</v>
      </c>
    </row>
    <row r="164">
      <c r="A164" s="0">
        <f t="shared" si="0"/>
        <v>59537</v>
      </c>
      <c r="B164" s="0">
        <f t="shared" si="1"/>
        <v>28</v>
      </c>
      <c r="C164" s="0">
        <f t="shared" si="2"/>
        <v>201</v>
      </c>
      <c r="D164" s="0">
        <f t="shared" si="3"/>
        <v>20621231</v>
      </c>
      <c r="E164" s="0">
        <f t="shared" si="4"/>
        <v>1</v>
      </c>
    </row>
    <row r="165">
      <c r="A165" s="0">
        <f t="shared" si="0"/>
        <v>59902</v>
      </c>
      <c r="B165" s="0">
        <f t="shared" si="1"/>
        <v>29</v>
      </c>
      <c r="C165" s="0">
        <f t="shared" si="2"/>
        <v>301</v>
      </c>
      <c r="D165" s="0">
        <f t="shared" si="3"/>
        <v>20631231</v>
      </c>
      <c r="E165" s="0">
        <f t="shared" si="4"/>
        <v>1</v>
      </c>
    </row>
    <row r="166">
      <c r="A166" s="0">
        <f t="shared" si="0"/>
        <v>60268</v>
      </c>
      <c r="B166" s="0">
        <f t="shared" si="1"/>
        <v>28</v>
      </c>
      <c r="C166" s="0">
        <f t="shared" si="2"/>
        <v>501</v>
      </c>
      <c r="D166" s="0">
        <f t="shared" si="3"/>
        <v>20641231</v>
      </c>
      <c r="E166" s="0">
        <f t="shared" si="4"/>
        <v>53</v>
      </c>
    </row>
    <row r="167">
      <c r="A167" s="0">
        <f t="shared" si="0"/>
        <v>60633</v>
      </c>
      <c r="B167" s="0">
        <f t="shared" si="1"/>
        <v>28</v>
      </c>
      <c r="C167" s="0">
        <f t="shared" si="2"/>
        <v>653</v>
      </c>
      <c r="D167" s="0">
        <f t="shared" si="3"/>
        <v>20651231</v>
      </c>
      <c r="E167" s="0">
        <f t="shared" si="4"/>
        <v>52</v>
      </c>
    </row>
    <row r="168">
      <c r="A168" s="0">
        <f t="shared" si="0"/>
        <v>60998</v>
      </c>
      <c r="B168" s="0">
        <f t="shared" si="1"/>
        <v>28</v>
      </c>
      <c r="C168" s="0">
        <f t="shared" si="2"/>
        <v>752</v>
      </c>
      <c r="D168" s="0">
        <f t="shared" si="3"/>
        <v>20661231</v>
      </c>
      <c r="E168" s="0">
        <f t="shared" si="4"/>
        <v>52</v>
      </c>
    </row>
    <row r="169">
      <c r="A169" s="0">
        <f t="shared" si="0"/>
        <v>61363</v>
      </c>
      <c r="B169" s="0">
        <f t="shared" si="1"/>
        <v>29</v>
      </c>
      <c r="C169" s="0">
        <f t="shared" si="2"/>
        <v>152</v>
      </c>
      <c r="D169" s="0">
        <f t="shared" si="3"/>
        <v>20671231</v>
      </c>
      <c r="E169" s="0">
        <f t="shared" si="4"/>
        <v>1</v>
      </c>
    </row>
    <row r="170">
      <c r="A170" s="0">
        <f t="shared" si="0"/>
        <v>61729</v>
      </c>
      <c r="B170" s="0">
        <f t="shared" si="1"/>
        <v>28</v>
      </c>
      <c r="C170" s="0">
        <f t="shared" si="2"/>
        <v>301</v>
      </c>
      <c r="D170" s="0">
        <f t="shared" si="3"/>
        <v>20681231</v>
      </c>
      <c r="E170" s="0">
        <f t="shared" si="4"/>
        <v>1</v>
      </c>
    </row>
    <row r="171">
      <c r="A171" s="0">
        <f t="shared" si="0"/>
        <v>62094</v>
      </c>
      <c r="B171" s="0">
        <f t="shared" si="1"/>
        <v>28</v>
      </c>
      <c r="C171" s="0">
        <f t="shared" si="2"/>
        <v>401</v>
      </c>
      <c r="D171" s="0">
        <f t="shared" si="3"/>
        <v>20691231</v>
      </c>
      <c r="E171" s="0">
        <f t="shared" si="4"/>
        <v>1</v>
      </c>
    </row>
    <row r="172">
      <c r="A172" s="0">
        <f t="shared" si="0"/>
        <v>62459</v>
      </c>
      <c r="B172" s="0">
        <f t="shared" si="1"/>
        <v>28</v>
      </c>
      <c r="C172" s="0">
        <f t="shared" si="2"/>
        <v>501</v>
      </c>
      <c r="D172" s="0">
        <f t="shared" si="3"/>
        <v>20701231</v>
      </c>
      <c r="E172" s="0">
        <f t="shared" si="4"/>
        <v>53</v>
      </c>
    </row>
    <row r="173">
      <c r="A173" s="0">
        <f t="shared" si="0"/>
        <v>62824</v>
      </c>
      <c r="B173" s="0">
        <f t="shared" si="1"/>
        <v>29</v>
      </c>
      <c r="C173" s="0">
        <f t="shared" si="2"/>
        <v>653</v>
      </c>
      <c r="D173" s="0">
        <f t="shared" si="3"/>
        <v>20711231</v>
      </c>
      <c r="E173" s="0">
        <f t="shared" si="4"/>
        <v>52</v>
      </c>
    </row>
    <row r="174">
      <c r="A174" s="0">
        <f t="shared" si="0"/>
        <v>63190</v>
      </c>
      <c r="B174" s="0">
        <f t="shared" si="1"/>
        <v>28</v>
      </c>
      <c r="C174" s="0">
        <f t="shared" si="2"/>
        <v>152</v>
      </c>
      <c r="D174" s="0">
        <f t="shared" si="3"/>
        <v>20721231</v>
      </c>
      <c r="E174" s="0">
        <f t="shared" si="4"/>
        <v>52</v>
      </c>
    </row>
    <row r="175">
      <c r="A175" s="0">
        <f t="shared" si="0"/>
        <v>63555</v>
      </c>
      <c r="B175" s="0">
        <f t="shared" si="1"/>
        <v>28</v>
      </c>
      <c r="C175" s="0">
        <f t="shared" si="2"/>
        <v>201</v>
      </c>
      <c r="D175" s="0">
        <f t="shared" si="3"/>
        <v>20731231</v>
      </c>
      <c r="E175" s="0">
        <f t="shared" si="4"/>
        <v>1</v>
      </c>
    </row>
    <row r="176">
      <c r="A176" s="0">
        <f t="shared" si="0"/>
        <v>63920</v>
      </c>
      <c r="B176" s="0">
        <f t="shared" si="1"/>
        <v>28</v>
      </c>
      <c r="C176" s="0">
        <f t="shared" si="2"/>
        <v>301</v>
      </c>
      <c r="D176" s="0">
        <f t="shared" si="3"/>
        <v>20741231</v>
      </c>
      <c r="E176" s="0">
        <f t="shared" si="4"/>
        <v>1</v>
      </c>
    </row>
    <row r="177">
      <c r="A177" s="0">
        <f t="shared" si="0"/>
        <v>64285</v>
      </c>
      <c r="B177" s="0">
        <f t="shared" si="1"/>
        <v>29</v>
      </c>
      <c r="C177" s="0">
        <f t="shared" si="2"/>
        <v>401</v>
      </c>
      <c r="D177" s="0">
        <f t="shared" si="3"/>
        <v>20751231</v>
      </c>
      <c r="E177" s="0">
        <f t="shared" si="4"/>
        <v>53</v>
      </c>
    </row>
    <row r="178">
      <c r="A178" s="0">
        <f t="shared" si="0"/>
        <v>64651</v>
      </c>
      <c r="B178" s="0">
        <f t="shared" si="1"/>
        <v>28</v>
      </c>
      <c r="C178" s="0">
        <f t="shared" si="2"/>
        <v>653</v>
      </c>
      <c r="D178" s="0">
        <f t="shared" si="3"/>
        <v>20761231</v>
      </c>
      <c r="E178" s="0">
        <f t="shared" si="4"/>
        <v>52</v>
      </c>
    </row>
    <row r="179">
      <c r="A179" s="0">
        <f t="shared" si="0"/>
        <v>65016</v>
      </c>
      <c r="B179" s="0">
        <f t="shared" si="1"/>
        <v>28</v>
      </c>
      <c r="C179" s="0">
        <f t="shared" si="2"/>
        <v>752</v>
      </c>
      <c r="D179" s="0">
        <f t="shared" si="3"/>
        <v>20771231</v>
      </c>
      <c r="E179" s="0">
        <f t="shared" si="4"/>
        <v>52</v>
      </c>
    </row>
    <row r="180">
      <c r="A180" s="0">
        <f t="shared" si="0"/>
        <v>65381</v>
      </c>
      <c r="B180" s="0">
        <f t="shared" si="1"/>
        <v>28</v>
      </c>
      <c r="C180" s="0">
        <f t="shared" si="2"/>
        <v>152</v>
      </c>
      <c r="D180" s="0">
        <f t="shared" si="3"/>
        <v>20781231</v>
      </c>
      <c r="E180" s="0">
        <f t="shared" si="4"/>
        <v>52</v>
      </c>
    </row>
    <row r="181">
      <c r="A181" s="0">
        <f t="shared" si="0"/>
        <v>65746</v>
      </c>
      <c r="B181" s="0">
        <f t="shared" si="1"/>
        <v>29</v>
      </c>
      <c r="C181" s="0">
        <f t="shared" si="2"/>
        <v>201</v>
      </c>
      <c r="D181" s="0">
        <f t="shared" si="3"/>
        <v>20791231</v>
      </c>
      <c r="E181" s="0">
        <f t="shared" si="4"/>
        <v>1</v>
      </c>
    </row>
    <row r="182">
      <c r="A182" s="0">
        <f t="shared" si="0"/>
        <v>66112</v>
      </c>
      <c r="B182" s="0">
        <f t="shared" si="1"/>
        <v>28</v>
      </c>
      <c r="C182" s="0">
        <f t="shared" si="2"/>
        <v>401</v>
      </c>
      <c r="D182" s="0">
        <f t="shared" si="3"/>
        <v>20801231</v>
      </c>
      <c r="E182" s="0">
        <f t="shared" si="4"/>
        <v>1</v>
      </c>
    </row>
    <row r="183">
      <c r="A183" s="0">
        <f t="shared" si="0"/>
        <v>66477</v>
      </c>
      <c r="B183" s="0">
        <f t="shared" si="1"/>
        <v>28</v>
      </c>
      <c r="C183" s="0">
        <f t="shared" si="2"/>
        <v>501</v>
      </c>
      <c r="D183" s="0">
        <f t="shared" si="3"/>
        <v>20811231</v>
      </c>
      <c r="E183" s="0">
        <f t="shared" si="4"/>
        <v>53</v>
      </c>
    </row>
    <row r="184">
      <c r="A184" s="0">
        <f t="shared" si="0"/>
        <v>66842</v>
      </c>
      <c r="B184" s="0">
        <f t="shared" si="1"/>
        <v>28</v>
      </c>
      <c r="C184" s="0">
        <f t="shared" si="2"/>
        <v>653</v>
      </c>
      <c r="D184" s="0">
        <f t="shared" si="3"/>
        <v>20821231</v>
      </c>
      <c r="E184" s="0">
        <f t="shared" si="4"/>
        <v>52</v>
      </c>
    </row>
    <row r="185">
      <c r="A185" s="0">
        <f t="shared" si="0"/>
        <v>67207</v>
      </c>
      <c r="B185" s="0">
        <f t="shared" si="1"/>
        <v>29</v>
      </c>
      <c r="C185" s="0">
        <f t="shared" si="2"/>
        <v>752</v>
      </c>
      <c r="D185" s="0">
        <f t="shared" si="3"/>
        <v>20831231</v>
      </c>
      <c r="E185" s="0">
        <f t="shared" si="4"/>
        <v>52</v>
      </c>
    </row>
    <row r="186">
      <c r="A186" s="0">
        <f t="shared" si="0"/>
        <v>67573</v>
      </c>
      <c r="B186" s="0">
        <f t="shared" si="1"/>
        <v>28</v>
      </c>
      <c r="C186" s="0">
        <f t="shared" si="2"/>
        <v>201</v>
      </c>
      <c r="D186" s="0">
        <f t="shared" si="3"/>
        <v>20841231</v>
      </c>
      <c r="E186" s="0">
        <f t="shared" si="4"/>
        <v>1</v>
      </c>
    </row>
    <row r="187">
      <c r="A187" s="0">
        <f t="shared" si="0"/>
        <v>67938</v>
      </c>
      <c r="B187" s="0">
        <f t="shared" si="1"/>
        <v>28</v>
      </c>
      <c r="C187" s="0">
        <f t="shared" si="2"/>
        <v>301</v>
      </c>
      <c r="D187" s="0">
        <f t="shared" si="3"/>
        <v>20851231</v>
      </c>
      <c r="E187" s="0">
        <f t="shared" si="4"/>
        <v>1</v>
      </c>
    </row>
    <row r="188">
      <c r="A188" s="0">
        <f t="shared" si="0"/>
        <v>68303</v>
      </c>
      <c r="B188" s="0">
        <f t="shared" si="1"/>
        <v>28</v>
      </c>
      <c r="C188" s="0">
        <f t="shared" si="2"/>
        <v>401</v>
      </c>
      <c r="D188" s="0">
        <f t="shared" si="3"/>
        <v>20861231</v>
      </c>
      <c r="E188" s="0">
        <f t="shared" si="4"/>
        <v>1</v>
      </c>
    </row>
    <row r="189">
      <c r="A189" s="0">
        <f t="shared" si="0"/>
        <v>68668</v>
      </c>
      <c r="B189" s="0">
        <f t="shared" si="1"/>
        <v>29</v>
      </c>
      <c r="C189" s="0">
        <f t="shared" si="2"/>
        <v>501</v>
      </c>
      <c r="D189" s="0">
        <f t="shared" si="3"/>
        <v>20871231</v>
      </c>
      <c r="E189" s="0">
        <f t="shared" si="4"/>
        <v>53</v>
      </c>
    </row>
    <row r="190">
      <c r="A190" s="0">
        <f t="shared" si="0"/>
        <v>69034</v>
      </c>
      <c r="B190" s="0">
        <f t="shared" si="1"/>
        <v>28</v>
      </c>
      <c r="C190" s="0">
        <f t="shared" si="2"/>
        <v>753</v>
      </c>
      <c r="D190" s="0">
        <f t="shared" si="3"/>
        <v>20881231</v>
      </c>
      <c r="E190" s="0">
        <f t="shared" si="4"/>
        <v>52</v>
      </c>
    </row>
    <row r="191">
      <c r="A191" s="0">
        <f t="shared" si="0"/>
        <v>69399</v>
      </c>
      <c r="B191" s="0">
        <f t="shared" si="1"/>
        <v>28</v>
      </c>
      <c r="C191" s="0">
        <f t="shared" si="2"/>
        <v>152</v>
      </c>
      <c r="D191" s="0">
        <f t="shared" si="3"/>
        <v>20891231</v>
      </c>
      <c r="E191" s="0">
        <f t="shared" si="4"/>
        <v>52</v>
      </c>
    </row>
    <row r="192">
      <c r="A192" s="0">
        <f t="shared" si="0"/>
        <v>69764</v>
      </c>
      <c r="B192" s="0">
        <f t="shared" si="1"/>
        <v>28</v>
      </c>
      <c r="C192" s="0">
        <f t="shared" si="2"/>
        <v>201</v>
      </c>
      <c r="D192" s="0">
        <f t="shared" si="3"/>
        <v>20901231</v>
      </c>
      <c r="E192" s="0">
        <f t="shared" si="4"/>
        <v>1</v>
      </c>
    </row>
    <row r="193">
      <c r="A193" s="0">
        <f t="shared" si="0"/>
        <v>70129</v>
      </c>
      <c r="B193" s="0">
        <f t="shared" si="1"/>
        <v>29</v>
      </c>
      <c r="C193" s="0">
        <f t="shared" si="2"/>
        <v>301</v>
      </c>
      <c r="D193" s="0">
        <f t="shared" si="3"/>
        <v>20911231</v>
      </c>
      <c r="E193" s="0">
        <f t="shared" si="4"/>
        <v>1</v>
      </c>
    </row>
    <row r="194">
      <c r="A194" s="0">
        <f t="shared" si="0"/>
        <v>70495</v>
      </c>
      <c r="B194" s="0">
        <f t="shared" si="1"/>
        <v>28</v>
      </c>
      <c r="C194" s="0">
        <f t="shared" si="2"/>
        <v>501</v>
      </c>
      <c r="D194" s="0">
        <f t="shared" si="3"/>
        <v>20921231</v>
      </c>
      <c r="E194" s="0">
        <f t="shared" si="4"/>
        <v>53</v>
      </c>
    </row>
    <row r="195">
      <c r="A195" s="0">
        <f t="shared" si="0"/>
        <v>70860</v>
      </c>
      <c r="B195" s="0">
        <f t="shared" si="1"/>
        <v>28</v>
      </c>
      <c r="C195" s="0">
        <f t="shared" si="2"/>
        <v>653</v>
      </c>
      <c r="D195" s="0">
        <f t="shared" si="3"/>
        <v>20931231</v>
      </c>
      <c r="E195" s="0">
        <f t="shared" si="4"/>
        <v>52</v>
      </c>
    </row>
    <row r="196">
      <c r="A196" s="0">
        <f t="shared" si="0"/>
        <v>71225</v>
      </c>
      <c r="B196" s="0">
        <f t="shared" si="1"/>
        <v>28</v>
      </c>
      <c r="C196" s="0">
        <f t="shared" si="2"/>
        <v>752</v>
      </c>
      <c r="D196" s="0">
        <f t="shared" si="3"/>
        <v>20941231</v>
      </c>
      <c r="E196" s="0">
        <f t="shared" si="4"/>
        <v>52</v>
      </c>
    </row>
    <row r="197">
      <c r="A197" s="0">
        <f t="shared" si="0"/>
        <v>71590</v>
      </c>
      <c r="B197" s="0">
        <f t="shared" si="1"/>
        <v>29</v>
      </c>
      <c r="C197" s="0">
        <f t="shared" si="2"/>
        <v>152</v>
      </c>
      <c r="D197" s="0">
        <f t="shared" si="3"/>
        <v>20951231</v>
      </c>
      <c r="E197" s="0">
        <f t="shared" si="4"/>
        <v>1</v>
      </c>
    </row>
    <row r="198">
      <c r="A198" s="0">
        <f t="shared" si="0"/>
        <v>71956</v>
      </c>
      <c r="B198" s="0">
        <f t="shared" si="1"/>
        <v>28</v>
      </c>
      <c r="C198" s="0">
        <f t="shared" si="2"/>
        <v>301</v>
      </c>
      <c r="D198" s="0">
        <f t="shared" si="3"/>
        <v>20961231</v>
      </c>
      <c r="E198" s="0">
        <f t="shared" si="4"/>
        <v>1</v>
      </c>
    </row>
    <row r="199">
      <c r="A199" s="0">
        <f t="shared" si="0"/>
        <v>72321</v>
      </c>
      <c r="B199" s="0">
        <f t="shared" si="1"/>
        <v>28</v>
      </c>
      <c r="C199" s="0">
        <f t="shared" si="2"/>
        <v>401</v>
      </c>
      <c r="D199" s="0">
        <f t="shared" si="3"/>
        <v>20971231</v>
      </c>
      <c r="E199" s="0">
        <f t="shared" si="4"/>
        <v>1</v>
      </c>
    </row>
    <row r="200">
      <c r="A200" s="0">
        <f t="shared" si="0"/>
        <v>72686</v>
      </c>
      <c r="B200" s="0">
        <f t="shared" si="1"/>
        <v>28</v>
      </c>
      <c r="C200" s="0">
        <f t="shared" si="2"/>
        <v>501</v>
      </c>
      <c r="D200" s="0">
        <f t="shared" si="3"/>
        <v>20981231</v>
      </c>
      <c r="E200" s="0">
        <f t="shared" si="4"/>
        <v>53</v>
      </c>
    </row>
    <row r="201">
      <c r="A201" s="0">
        <f t="shared" si="0"/>
        <v>73051</v>
      </c>
      <c r="B201" s="0">
        <f t="shared" si="1"/>
        <v>28</v>
      </c>
      <c r="C201" s="0">
        <f t="shared" si="2"/>
        <v>653</v>
      </c>
      <c r="D201" s="0">
        <f t="shared" si="3"/>
        <v>20991231</v>
      </c>
      <c r="E201" s="0">
        <f t="shared" si="4"/>
        <v>52</v>
      </c>
    </row>
    <row r="202">
      <c r="A202" s="0">
        <f t="shared" si="0"/>
        <v>73416</v>
      </c>
      <c r="B202" s="0">
        <f t="shared" si="1"/>
        <v>28</v>
      </c>
      <c r="C202" s="0">
        <f t="shared" si="2"/>
        <v>752</v>
      </c>
      <c r="D202" s="0">
        <f t="shared" si="3"/>
        <v>21001231</v>
      </c>
      <c r="E202" s="0">
        <f t="shared" si="4"/>
        <v>52</v>
      </c>
    </row>
  </sheetData>
</worksheet>
</file>

<file path=docProps/app.xml><?xml version="1.0" encoding="utf-8"?>
<Properties xmlns="http://schemas.openxmlformats.org/officeDocument/2006/extended-properties">
  <Application>Frazaro</Application>
</Properties>
</file>

<file path=docProps/core.xml><?xml version="1.0" encoding="utf-8"?>
<cp:coreProperties xmlns:cp="http://schemas.openxmlformats.org/package/2006/metadata/core-properties"/>
</file>