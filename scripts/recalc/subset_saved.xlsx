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t\Documents\Code\VLA\Delta\Frazaro\scripts\recalc\"/>
    </mc:Choice>
  </mc:AlternateContent>
  <xr:revisionPtr revIDLastSave="0" documentId="8_{E8105CDD-AD3B-4116-B8E0-16AC959673AC}" xr6:coauthVersionLast="47" xr6:coauthVersionMax="47" xr10:uidLastSave="{00000000-0000-0000-0000-000000000000}"/>
  <bookViews>
    <workbookView xWindow="3520" yWindow="1450" windowWidth="19290" windowHeight="15060" xr2:uid="{00000000-000D-0000-FFFF-FFFF00000000}"/>
  </bookViews>
  <sheets>
    <sheet name="Frazaro" sheetId="1" r:id="rId1"/>
    <sheet name="Output" sheetId="2" r:id="rId2"/>
    <sheet name="logic" sheetId="3" r:id="rId3"/>
    <sheet name="math" sheetId="4" r:id="rId4"/>
  </sheets>
  <definedNames>
    <definedName name="Frazaro.Build">_xlfn._LONGTEXT("Frazaro 0.8.0; sentences sha256:AC5301DBC1F55220FFDA023604667E1AB429335BDA03D9902519B1335DA93B37 over 4455 non-whitespace bytes; prelude sha256:887F55C46AA71563EE5DE0F74E3D4DB1C0022986248AD1FBF8A7A63711AC508C over 27033 non-whitespace bytes; phrasebook 1 ","sha256:5E5FF4121AA83D783E926C1A78B8E8C7C45BFE1E1184340F8D93A0285DDCB949 over 167902 non-whitespace bytes")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4" l="1"/>
  <c r="C42" i="4"/>
  <c r="C44" i="4" s="1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A6" i="4"/>
  <c r="C5" i="4"/>
  <c r="C4" i="4"/>
  <c r="C3" i="4"/>
  <c r="C2" i="4"/>
  <c r="C1" i="4"/>
  <c r="C45" i="4" s="1"/>
  <c r="C27" i="3"/>
  <c r="C26" i="3"/>
  <c r="C25" i="3"/>
  <c r="C24" i="3"/>
  <c r="C23" i="3"/>
  <c r="C22" i="3"/>
  <c r="C21" i="3"/>
  <c r="C20" i="3"/>
  <c r="C19" i="3"/>
  <c r="C18" i="3" a="1"/>
  <c r="C18" i="3"/>
  <c r="C17" i="3" a="1"/>
  <c r="C17" i="3" s="1"/>
  <c r="C16" i="3" a="1"/>
  <c r="C16" i="3" s="1"/>
  <c r="C15" i="3" a="1"/>
  <c r="C15" i="3" s="1"/>
  <c r="C14" i="3" a="1"/>
  <c r="C14" i="3" s="1"/>
  <c r="C13" i="3"/>
  <c r="C12" i="3"/>
  <c r="C11" i="3"/>
  <c r="C10" i="3"/>
  <c r="C9" i="3"/>
  <c r="C7" i="3"/>
  <c r="C6" i="3"/>
  <c r="C5" i="3"/>
  <c r="C4" i="3"/>
  <c r="A4" i="3"/>
  <c r="C8" i="3" s="1"/>
  <c r="C3" i="3"/>
  <c r="C2" i="3"/>
  <c r="C1" i="3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9" i="2"/>
  <c r="C8" i="2"/>
  <c r="C6" i="2"/>
  <c r="C5" i="2"/>
  <c r="C4" i="2"/>
  <c r="C3" i="2"/>
  <c r="A3" i="2"/>
  <c r="C10" i="2" s="1"/>
  <c r="C2" i="2"/>
  <c r="C1" i="2"/>
  <c r="C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<sst xmlns="http://schemas.openxmlformats.org/spreadsheetml/2006/main" count="263" uniqueCount="131">
  <si>
    <t># The recalculation subset's fixture (KERNEL.7): one formula per function the declared subset computes and per</t>
  </si>
  <si>
    <t>OK</t>
  </si>
  <si>
    <t># coercion it claims, with the inputs each needs, so that a Save in Excel 365 gives every row its cached value.</t>
  </si>
  <si>
    <t># Built by frazaro into subset.xlsx (no cached values); the owner's save of it is subset_saved.xlsx, the oracle.</t>
  </si>
  <si>
    <t>Put 5 into cell A1.</t>
  </si>
  <si>
    <t>Put "7" into cell A2.</t>
  </si>
  <si>
    <t>Put formula "=TRUE" into cell A3.</t>
  </si>
  <si>
    <t>Put "abc" into cell A5.</t>
  </si>
  <si>
    <t>Put 0.1 into cell A6.</t>
  </si>
  <si>
    <t>Put 0.2 into cell A7.</t>
  </si>
  <si>
    <t>Put -2 into cell A8.</t>
  </si>
  <si>
    <t>Put formula "=A1+A2" into cell C1.</t>
  </si>
  <si>
    <t>Put formula "=A1+A3" into cell C2.</t>
  </si>
  <si>
    <t>Put formula "=A1+A4" into cell C3.</t>
  </si>
  <si>
    <t>Put formula "=A1+A5" into cell C4.</t>
  </si>
  <si>
    <t>Put formula "=A1&amp;A2" into cell C5.</t>
  </si>
  <si>
    <t>Put formula "=A6+A7&amp;""""" into cell C6.</t>
  </si>
  <si>
    <t>Put formula "=A3&amp;""""" into cell C7.</t>
  </si>
  <si>
    <t>Put formula "=A1=A2" into cell C8.</t>
  </si>
  <si>
    <t>Put formula "=A1&lt;A5" into cell C9.</t>
  </si>
  <si>
    <t>Put formula "=A3&gt;A5" into cell C10.</t>
  </si>
  <si>
    <t>Put formula "=""ABC""=""abc""" into cell C11.</t>
  </si>
  <si>
    <t>Put formula "=A4=0" into cell C12.</t>
  </si>
  <si>
    <t>Put formula "=A4=""""" into cell C13.</t>
  </si>
  <si>
    <t>Put formula "=-A8^2" into cell C14.</t>
  </si>
  <si>
    <t>Put formula "=2^3^2" into cell C15.</t>
  </si>
  <si>
    <t>Put formula "=A1/A4" into cell C16.</t>
  </si>
  <si>
    <t>Put formula "=0^0" into cell C17.</t>
  </si>
  <si>
    <t>Put formula "=50%" into cell C18.</t>
  </si>
  <si>
    <t>Put formula "=A2*2" into cell C19.</t>
  </si>
  <si>
    <t>Put formula "=1/3&amp;""""" into cell C20.</t>
  </si>
  <si>
    <t>Put formula "=0.0000001&amp;""""" into cell C21.</t>
  </si>
  <si>
    <t>Put formula "=10^21&amp;""""" into cell C22.</t>
  </si>
  <si>
    <t>Put formula "=10^20&amp;""""" into cell C23.</t>
  </si>
  <si>
    <t>Put formula "=-""5""" into cell C24.</t>
  </si>
  <si>
    <t>Put formula "=+""5""" into cell C25.</t>
  </si>
  <si>
    <t>Put formula "=1E307*100" into cell C26.</t>
  </si>
  <si>
    <t>Put formula "=(1=1)+1" into cell C27.</t>
  </si>
  <si>
    <t>Put formula "=A8^0.5" into cell C28.</t>
  </si>
  <si>
    <t>Put formula "=0^-1" into cell C29.</t>
  </si>
  <si>
    <t>Put formula "=A2=7" into cell C30.</t>
  </si>
  <si>
    <t>Put formula "=A1&lt;&gt;A4" into cell C31.</t>
  </si>
  <si>
    <t>Work on sheet Logic.</t>
  </si>
  <si>
    <t>Put 10 into cell A1.</t>
  </si>
  <si>
    <t>Put 20 into cell A2.</t>
  </si>
  <si>
    <t>Put "x" into cell A3.</t>
  </si>
  <si>
    <t>Put formula "=TRUE" into cell A4.</t>
  </si>
  <si>
    <t>Put 0 into cell A5.</t>
  </si>
  <si>
    <t>Put "TRUE" into cell A6.</t>
  </si>
  <si>
    <t>Put formula "=IF(A1&gt;5,""big"",""small"")" into cell C1.</t>
  </si>
  <si>
    <t>Put formula "=IF(A5,1,2)" into cell C2.</t>
  </si>
  <si>
    <t>Put formula "=IF(A3,1,2)" into cell C3.</t>
  </si>
  <si>
    <t>Put formula "=IF(FALSE,1)" into cell C4.</t>
  </si>
  <si>
    <t>Put formula "=IF(TRUE,,1)" into cell C5.</t>
  </si>
  <si>
    <t>Put formula "=IF(A6,1,2)" into cell C6.</t>
  </si>
  <si>
    <t>Put formula "=AND(A1&gt;5,A2&gt;5)" into cell C7.</t>
  </si>
  <si>
    <t>Put formula "=AND(A1:A5)" into cell C8.</t>
  </si>
  <si>
    <t>Put formula "=OR(A5,A3)" into cell C9.</t>
  </si>
  <si>
    <t>Put formula "=OR(A5:A6,FALSE)" into cell C10.</t>
  </si>
  <si>
    <t>Put formula "=NOT(A5)" into cell C11.</t>
  </si>
  <si>
    <t>Put formula "=AND(A3)" into cell C12.</t>
  </si>
  <si>
    <t>Put formula "=AND(A6)" into cell C13.</t>
  </si>
  <si>
    <t>Put formula "=IFS(A1&gt;15,""big"",A1&gt;5,""mid"",TRUE,""small"")" into cell C14.</t>
  </si>
  <si>
    <t>Put formula "=IFS(A1&gt;15,""big"")" into cell C15.</t>
  </si>
  <si>
    <t>Put formula "=CHOOSE(2,""a"",""b"",""c"")" into cell C16.</t>
  </si>
  <si>
    <t>Put formula "=CHOOSE(2.9,""a"",""b"",""c"")" into cell C17.</t>
  </si>
  <si>
    <t>Put formula "=CHOOSE(0,""a"")" into cell C18.</t>
  </si>
  <si>
    <t>Put formula "=ISNUMBER(A1)" into cell C19.</t>
  </si>
  <si>
    <t>Put formula "=ISNUMBER(A3)" into cell C20.</t>
  </si>
  <si>
    <t>Put formula "=ISNUMBER(1/0)" into cell C21.</t>
  </si>
  <si>
    <t>Put formula "=ISBLANK(A9)" into cell C22.</t>
  </si>
  <si>
    <t>Put formula "=ISBLANK(A1)" into cell C23.</t>
  </si>
  <si>
    <t>Put formula "=ISNUMBER(A6)" into cell C24.</t>
  </si>
  <si>
    <t>Put formula "=IF(1/0,1,2)" into cell C25.</t>
  </si>
  <si>
    <t>Put formula "=AND(TRUE,1/0)" into cell C26.</t>
  </si>
  <si>
    <t>Put formula "=IF(A1&gt;5,A1:A2,0)" into cell C27.</t>
  </si>
  <si>
    <t>Work on sheet Math.</t>
  </si>
  <si>
    <t>Put 30 into cell A4.</t>
  </si>
  <si>
    <t>Put formula "=TRUE" into cell A6.</t>
  </si>
  <si>
    <t>Put 1 into cell B1.</t>
  </si>
  <si>
    <t>Put 2 into cell B2.</t>
  </si>
  <si>
    <t>Put 4 into cell B4.</t>
  </si>
  <si>
    <t>Put formula "=SUM(A1:A6)" into cell C1.</t>
  </si>
  <si>
    <t>Put formula "=SUM(A1,""5"",TRUE)" into cell C2.</t>
  </si>
  <si>
    <t>Put formula "=SUM(A3)" into cell C3.</t>
  </si>
  <si>
    <t>Put formula "=SUM(""x"")" into cell C4.</t>
  </si>
  <si>
    <t>Put formula "=MIN(A1:A6)" into cell C5.</t>
  </si>
  <si>
    <t>Put formula "=MAX(A1:A6)" into cell C6.</t>
  </si>
  <si>
    <t>Put formula "=MIN(A3)" into cell C7.</t>
  </si>
  <si>
    <t>Put formula "=AVERAGE(A1:A6)" into cell C8.</t>
  </si>
  <si>
    <t>Put formula "=AVERAGE(A3)" into cell C9.</t>
  </si>
  <si>
    <t>Put formula "=ABS(-3.5)" into cell C10.</t>
  </si>
  <si>
    <t>Put formula "=INT(-1.5)" into cell C11.</t>
  </si>
  <si>
    <t>Put formula "=INT(1.5)" into cell C12.</t>
  </si>
  <si>
    <t>Put formula "=MOD(-7,3)" into cell C13.</t>
  </si>
  <si>
    <t>Put formula "=MOD(7,-3)" into cell C14.</t>
  </si>
  <si>
    <t>Put formula "=MOD(7,0)" into cell C15.</t>
  </si>
  <si>
    <t>Put formula "=MOD(5.5,2)" into cell C16.</t>
  </si>
  <si>
    <t>Put formula "=ROUND(2.675,2)" into cell C17.</t>
  </si>
  <si>
    <t>Put formula "=ROUND(-2.5,0)" into cell C18.</t>
  </si>
  <si>
    <t>Put formula "=ROUND(1234.5678,-2)" into cell C19.</t>
  </si>
  <si>
    <t>Put formula "=ROUND(1.234,1.9)" into cell C20.</t>
  </si>
  <si>
    <t>Put formula "=ROUND(0.5,0)" into cell C21.</t>
  </si>
  <si>
    <t>Put formula "=ROUND(1.005,2)" into cell C22.</t>
  </si>
  <si>
    <t>Put formula "=ROW()" into cell C23.</t>
  </si>
  <si>
    <t>Put formula "=COLUMN()" into cell C24.</t>
  </si>
  <si>
    <t>Put formula "=ROW(A4)" into cell C25.</t>
  </si>
  <si>
    <t>Put formula "=COLUMN(B1:C2)" into cell C26.</t>
  </si>
  <si>
    <t>Put formula "=SIN(0)" into cell C27.</t>
  </si>
  <si>
    <t>Put formula "=SIN(1)" into cell C28.</t>
  </si>
  <si>
    <t>Put formula "=SUMIF(A1:A6,""&gt;15"")" into cell C29.</t>
  </si>
  <si>
    <t>Put formula "=SUMIF(A1:A6,""&gt;15"",B1:B6)" into cell C30.</t>
  </si>
  <si>
    <t>Put formula "=COUNTIF(A1:A6,""&gt;15"")" into cell C31.</t>
  </si>
  <si>
    <t>Put formula "=COUNTIF(A1:A6,""x"")" into cell C32.</t>
  </si>
  <si>
    <t>Put formula "=COUNTIF(A1:A8,"""")" into cell C33.</t>
  </si>
  <si>
    <t>Put formula "=COUNTIF(A1:A6,""&lt;&gt;10"")" into cell C34.</t>
  </si>
  <si>
    <t>Put formula "=COUNTIF(A1:A6,""*"")" into cell C35.</t>
  </si>
  <si>
    <t>Put formula "=COUNTIF(A1:A6,10)" into cell C36.</t>
  </si>
  <si>
    <t>Put formula "=COUNTIF(A1:A6,TRUE)" into cell C37.</t>
  </si>
  <si>
    <t>Put formula "=SUMIF(A1:A6,""x"",B1:B6)" into cell C38.</t>
  </si>
  <si>
    <t>Put formula "=COUNTIF(B1:B4,""&lt;&gt;"")" into cell C39.</t>
  </si>
  <si>
    <t>Put formula "=SUM(Output!A1,logic!A1)" into cell C40.</t>
  </si>
  <si>
    <t>Put formula "=SUM(Output:logic!A1)" into cell C41.</t>
  </si>
  <si>
    <t>Put formula "=VLOOKUP(10,A1:B2,2)" into cell C42.</t>
  </si>
  <si>
    <t>Put formula "=CONCATENATE(""a"",""b"")" into cell C43.</t>
  </si>
  <si>
    <t>Put formula "=C42+1" into cell C44.</t>
  </si>
  <si>
    <t>Put formula "=SUM(C1:C3)" into cell C45.</t>
  </si>
  <si>
    <t>7</t>
  </si>
  <si>
    <t>abc</t>
  </si>
  <si>
    <t>x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</si>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</sst>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7F4F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EB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0" xfId="0" applyNumberFormat="1" applyFill="1"/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32"/>
  <sheetViews>
    <sheetView showGridLines="0" tabSelected="1" topLeftCell="B1" workbookViewId="0">
      <selection activeCell="B1" sqref="B1"/>
    </sheetView>
  </sheetViews>
  <sheetFormatPr defaultRowHeight="14.5" x14ac:dyDescent="0.35"/>
  <cols>
    <col min="1" max="1" width="0" hidden="1" customWidth="1"/>
    <col min="2" max="2" width="72.7265625" style="1" customWidth="1"/>
    <col min="3" max="3" width="60.7265625" style="2" customWidth="1"/>
  </cols>
  <sheetData>
    <row r="1" spans="2:3" x14ac:dyDescent="0.35">
      <c r="B1" s="1" t="s">
        <v>0</v>
      </c>
      <c r="C1" s="3" t="s">
        <v>1</v>
      </c>
    </row>
    <row r="2" spans="2:3" x14ac:dyDescent="0.35">
      <c r="B2" s="1" t="s">
        <v>2</v>
      </c>
      <c r="C2" s="3" t="s">
        <v>1</v>
      </c>
    </row>
    <row r="3" spans="2:3" x14ac:dyDescent="0.35">
      <c r="B3" s="1" t="s">
        <v>3</v>
      </c>
      <c r="C3" s="3" t="s">
        <v>1</v>
      </c>
    </row>
    <row r="5" spans="2:3" x14ac:dyDescent="0.35">
      <c r="B5" s="1" t="s">
        <v>4</v>
      </c>
      <c r="C5" s="3" t="s">
        <v>1</v>
      </c>
    </row>
    <row r="6" spans="2:3" x14ac:dyDescent="0.35">
      <c r="B6" s="1" t="s">
        <v>5</v>
      </c>
      <c r="C6" s="3" t="s">
        <v>1</v>
      </c>
    </row>
    <row r="7" spans="2:3" x14ac:dyDescent="0.35">
      <c r="B7" s="1" t="s">
        <v>6</v>
      </c>
      <c r="C7" s="3" t="s">
        <v>1</v>
      </c>
    </row>
    <row r="8" spans="2:3" x14ac:dyDescent="0.35">
      <c r="B8" s="1" t="s">
        <v>7</v>
      </c>
      <c r="C8" s="3" t="s">
        <v>1</v>
      </c>
    </row>
    <row r="9" spans="2:3" x14ac:dyDescent="0.35">
      <c r="B9" s="1" t="s">
        <v>8</v>
      </c>
      <c r="C9" s="3" t="s">
        <v>1</v>
      </c>
    </row>
    <row r="10" spans="2:3" x14ac:dyDescent="0.35">
      <c r="B10" s="1" t="s">
        <v>9</v>
      </c>
      <c r="C10" s="3" t="s">
        <v>1</v>
      </c>
    </row>
    <row r="11" spans="2:3" x14ac:dyDescent="0.35">
      <c r="B11" s="1" t="s">
        <v>10</v>
      </c>
      <c r="C11" s="3" t="s">
        <v>1</v>
      </c>
    </row>
    <row r="12" spans="2:3" x14ac:dyDescent="0.35">
      <c r="B12" s="1" t="s">
        <v>11</v>
      </c>
      <c r="C12" s="3" t="s">
        <v>1</v>
      </c>
    </row>
    <row r="13" spans="2:3" x14ac:dyDescent="0.35">
      <c r="B13" s="1" t="s">
        <v>12</v>
      </c>
      <c r="C13" s="3" t="s">
        <v>1</v>
      </c>
    </row>
    <row r="14" spans="2:3" x14ac:dyDescent="0.35">
      <c r="B14" s="1" t="s">
        <v>13</v>
      </c>
      <c r="C14" s="3" t="s">
        <v>1</v>
      </c>
    </row>
    <row r="15" spans="2:3" x14ac:dyDescent="0.35">
      <c r="B15" s="1" t="s">
        <v>14</v>
      </c>
      <c r="C15" s="3" t="s">
        <v>1</v>
      </c>
    </row>
    <row r="16" spans="2:3" x14ac:dyDescent="0.35">
      <c r="B16" s="1" t="s">
        <v>15</v>
      </c>
      <c r="C16" s="3" t="s">
        <v>1</v>
      </c>
    </row>
    <row r="17" spans="2:3" x14ac:dyDescent="0.35">
      <c r="B17" s="1" t="s">
        <v>16</v>
      </c>
      <c r="C17" s="3" t="s">
        <v>1</v>
      </c>
    </row>
    <row r="18" spans="2:3" x14ac:dyDescent="0.35">
      <c r="B18" s="1" t="s">
        <v>17</v>
      </c>
      <c r="C18" s="3" t="s">
        <v>1</v>
      </c>
    </row>
    <row r="19" spans="2:3" x14ac:dyDescent="0.35">
      <c r="B19" s="1" t="s">
        <v>18</v>
      </c>
      <c r="C19" s="3" t="s">
        <v>1</v>
      </c>
    </row>
    <row r="20" spans="2:3" x14ac:dyDescent="0.35">
      <c r="B20" s="1" t="s">
        <v>19</v>
      </c>
      <c r="C20" s="3" t="s">
        <v>1</v>
      </c>
    </row>
    <row r="21" spans="2:3" x14ac:dyDescent="0.35">
      <c r="B21" s="1" t="s">
        <v>20</v>
      </c>
      <c r="C21" s="3" t="s">
        <v>1</v>
      </c>
    </row>
    <row r="22" spans="2:3" x14ac:dyDescent="0.35">
      <c r="B22" s="1" t="s">
        <v>21</v>
      </c>
      <c r="C22" s="3" t="s">
        <v>1</v>
      </c>
    </row>
    <row r="23" spans="2:3" x14ac:dyDescent="0.35">
      <c r="B23" s="1" t="s">
        <v>22</v>
      </c>
      <c r="C23" s="3" t="s">
        <v>1</v>
      </c>
    </row>
    <row r="24" spans="2:3" x14ac:dyDescent="0.35">
      <c r="B24" s="1" t="s">
        <v>23</v>
      </c>
      <c r="C24" s="3" t="s">
        <v>1</v>
      </c>
    </row>
    <row r="25" spans="2:3" x14ac:dyDescent="0.35">
      <c r="B25" s="1" t="s">
        <v>24</v>
      </c>
      <c r="C25" s="3" t="s">
        <v>1</v>
      </c>
    </row>
    <row r="26" spans="2:3" x14ac:dyDescent="0.35">
      <c r="B26" s="1" t="s">
        <v>25</v>
      </c>
      <c r="C26" s="3" t="s">
        <v>1</v>
      </c>
    </row>
    <row r="27" spans="2:3" x14ac:dyDescent="0.35">
      <c r="B27" s="1" t="s">
        <v>26</v>
      </c>
      <c r="C27" s="3" t="s">
        <v>1</v>
      </c>
    </row>
    <row r="28" spans="2:3" x14ac:dyDescent="0.35">
      <c r="B28" s="1" t="s">
        <v>27</v>
      </c>
      <c r="C28" s="3" t="s">
        <v>1</v>
      </c>
    </row>
    <row r="29" spans="2:3" x14ac:dyDescent="0.35">
      <c r="B29" s="1" t="s">
        <v>28</v>
      </c>
      <c r="C29" s="3" t="s">
        <v>1</v>
      </c>
    </row>
    <row r="30" spans="2:3" x14ac:dyDescent="0.35">
      <c r="B30" s="1" t="s">
        <v>29</v>
      </c>
      <c r="C30" s="3" t="s">
        <v>1</v>
      </c>
    </row>
    <row r="31" spans="2:3" x14ac:dyDescent="0.35">
      <c r="B31" s="1" t="s">
        <v>30</v>
      </c>
      <c r="C31" s="3" t="s">
        <v>1</v>
      </c>
    </row>
    <row r="32" spans="2:3" x14ac:dyDescent="0.35">
      <c r="B32" s="1" t="s">
        <v>31</v>
      </c>
      <c r="C32" s="3" t="s">
        <v>1</v>
      </c>
    </row>
    <row r="33" spans="2:3" x14ac:dyDescent="0.35">
      <c r="B33" s="1" t="s">
        <v>32</v>
      </c>
      <c r="C33" s="3" t="s">
        <v>1</v>
      </c>
    </row>
    <row r="34" spans="2:3" x14ac:dyDescent="0.35">
      <c r="B34" s="1" t="s">
        <v>33</v>
      </c>
      <c r="C34" s="3" t="s">
        <v>1</v>
      </c>
    </row>
    <row r="35" spans="2:3" x14ac:dyDescent="0.35">
      <c r="B35" s="1" t="s">
        <v>34</v>
      </c>
      <c r="C35" s="3" t="s">
        <v>1</v>
      </c>
    </row>
    <row r="36" spans="2:3" x14ac:dyDescent="0.35">
      <c r="B36" s="1" t="s">
        <v>35</v>
      </c>
      <c r="C36" s="3" t="s">
        <v>1</v>
      </c>
    </row>
    <row r="37" spans="2:3" x14ac:dyDescent="0.35">
      <c r="B37" s="1" t="s">
        <v>36</v>
      </c>
      <c r="C37" s="3" t="s">
        <v>1</v>
      </c>
    </row>
    <row r="38" spans="2:3" x14ac:dyDescent="0.35">
      <c r="B38" s="1" t="s">
        <v>37</v>
      </c>
      <c r="C38" s="3" t="s">
        <v>1</v>
      </c>
    </row>
    <row r="39" spans="2:3" x14ac:dyDescent="0.35">
      <c r="B39" s="1" t="s">
        <v>38</v>
      </c>
      <c r="C39" s="3" t="s">
        <v>1</v>
      </c>
    </row>
    <row r="40" spans="2:3" x14ac:dyDescent="0.35">
      <c r="B40" s="1" t="s">
        <v>39</v>
      </c>
      <c r="C40" s="3" t="s">
        <v>1</v>
      </c>
    </row>
    <row r="41" spans="2:3" x14ac:dyDescent="0.35">
      <c r="B41" s="1" t="s">
        <v>40</v>
      </c>
      <c r="C41" s="3" t="s">
        <v>1</v>
      </c>
    </row>
    <row r="42" spans="2:3" x14ac:dyDescent="0.35">
      <c r="B42" s="1" t="s">
        <v>41</v>
      </c>
      <c r="C42" s="3" t="s">
        <v>1</v>
      </c>
    </row>
    <row r="44" spans="2:3" x14ac:dyDescent="0.35">
      <c r="B44" s="1" t="s">
        <v>42</v>
      </c>
      <c r="C44" s="3" t="s">
        <v>1</v>
      </c>
    </row>
    <row r="45" spans="2:3" x14ac:dyDescent="0.35">
      <c r="B45" s="1" t="s">
        <v>43</v>
      </c>
      <c r="C45" s="3" t="s">
        <v>1</v>
      </c>
    </row>
    <row r="46" spans="2:3" x14ac:dyDescent="0.35">
      <c r="B46" s="1" t="s">
        <v>44</v>
      </c>
      <c r="C46" s="3" t="s">
        <v>1</v>
      </c>
    </row>
    <row r="47" spans="2:3" x14ac:dyDescent="0.35">
      <c r="B47" s="1" t="s">
        <v>45</v>
      </c>
      <c r="C47" s="3" t="s">
        <v>1</v>
      </c>
    </row>
    <row r="48" spans="2:3" x14ac:dyDescent="0.35">
      <c r="B48" s="1" t="s">
        <v>46</v>
      </c>
      <c r="C48" s="3" t="s">
        <v>1</v>
      </c>
    </row>
    <row r="49" spans="2:3" x14ac:dyDescent="0.35">
      <c r="B49" s="1" t="s">
        <v>47</v>
      </c>
      <c r="C49" s="3" t="s">
        <v>1</v>
      </c>
    </row>
    <row r="50" spans="2:3" x14ac:dyDescent="0.35">
      <c r="B50" s="1" t="s">
        <v>48</v>
      </c>
      <c r="C50" s="3" t="s">
        <v>1</v>
      </c>
    </row>
    <row r="51" spans="2:3" x14ac:dyDescent="0.35">
      <c r="B51" s="1" t="s">
        <v>49</v>
      </c>
      <c r="C51" s="3" t="s">
        <v>1</v>
      </c>
    </row>
    <row r="52" spans="2:3" x14ac:dyDescent="0.35">
      <c r="B52" s="1" t="s">
        <v>50</v>
      </c>
      <c r="C52" s="3" t="s">
        <v>1</v>
      </c>
    </row>
    <row r="53" spans="2:3" x14ac:dyDescent="0.35">
      <c r="B53" s="1" t="s">
        <v>51</v>
      </c>
      <c r="C53" s="3" t="s">
        <v>1</v>
      </c>
    </row>
    <row r="54" spans="2:3" x14ac:dyDescent="0.35">
      <c r="B54" s="1" t="s">
        <v>52</v>
      </c>
      <c r="C54" s="3" t="s">
        <v>1</v>
      </c>
    </row>
    <row r="55" spans="2:3" x14ac:dyDescent="0.35">
      <c r="B55" s="1" t="s">
        <v>53</v>
      </c>
      <c r="C55" s="3" t="s">
        <v>1</v>
      </c>
    </row>
    <row r="56" spans="2:3" x14ac:dyDescent="0.35">
      <c r="B56" s="1" t="s">
        <v>54</v>
      </c>
      <c r="C56" s="3" t="s">
        <v>1</v>
      </c>
    </row>
    <row r="57" spans="2:3" x14ac:dyDescent="0.35">
      <c r="B57" s="1" t="s">
        <v>55</v>
      </c>
      <c r="C57" s="3" t="s">
        <v>1</v>
      </c>
    </row>
    <row r="58" spans="2:3" x14ac:dyDescent="0.35">
      <c r="B58" s="1" t="s">
        <v>56</v>
      </c>
      <c r="C58" s="3" t="s">
        <v>1</v>
      </c>
    </row>
    <row r="59" spans="2:3" x14ac:dyDescent="0.35">
      <c r="B59" s="1" t="s">
        <v>57</v>
      </c>
      <c r="C59" s="3" t="s">
        <v>1</v>
      </c>
    </row>
    <row r="60" spans="2:3" x14ac:dyDescent="0.35">
      <c r="B60" s="1" t="s">
        <v>58</v>
      </c>
      <c r="C60" s="3" t="s">
        <v>1</v>
      </c>
    </row>
    <row r="61" spans="2:3" x14ac:dyDescent="0.35">
      <c r="B61" s="1" t="s">
        <v>59</v>
      </c>
      <c r="C61" s="3" t="s">
        <v>1</v>
      </c>
    </row>
    <row r="62" spans="2:3" x14ac:dyDescent="0.35">
      <c r="B62" s="1" t="s">
        <v>60</v>
      </c>
      <c r="C62" s="3" t="s">
        <v>1</v>
      </c>
    </row>
    <row r="63" spans="2:3" x14ac:dyDescent="0.35">
      <c r="B63" s="1" t="s">
        <v>61</v>
      </c>
      <c r="C63" s="3" t="s">
        <v>1</v>
      </c>
    </row>
    <row r="64" spans="2:3" x14ac:dyDescent="0.35">
      <c r="B64" s="1" t="s">
        <v>62</v>
      </c>
      <c r="C64" s="3" t="s">
        <v>1</v>
      </c>
    </row>
    <row r="65" spans="2:3" x14ac:dyDescent="0.35">
      <c r="B65" s="1" t="s">
        <v>63</v>
      </c>
      <c r="C65" s="3" t="s">
        <v>1</v>
      </c>
    </row>
    <row r="66" spans="2:3" x14ac:dyDescent="0.35">
      <c r="B66" s="1" t="s">
        <v>64</v>
      </c>
      <c r="C66" s="3" t="s">
        <v>1</v>
      </c>
    </row>
    <row r="67" spans="2:3" x14ac:dyDescent="0.35">
      <c r="B67" s="1" t="s">
        <v>65</v>
      </c>
      <c r="C67" s="3" t="s">
        <v>1</v>
      </c>
    </row>
    <row r="68" spans="2:3" x14ac:dyDescent="0.35">
      <c r="B68" s="1" t="s">
        <v>66</v>
      </c>
      <c r="C68" s="3" t="s">
        <v>1</v>
      </c>
    </row>
    <row r="69" spans="2:3" x14ac:dyDescent="0.35">
      <c r="B69" s="1" t="s">
        <v>67</v>
      </c>
      <c r="C69" s="3" t="s">
        <v>1</v>
      </c>
    </row>
    <row r="70" spans="2:3" x14ac:dyDescent="0.35">
      <c r="B70" s="1" t="s">
        <v>68</v>
      </c>
      <c r="C70" s="3" t="s">
        <v>1</v>
      </c>
    </row>
    <row r="71" spans="2:3" x14ac:dyDescent="0.35">
      <c r="B71" s="1" t="s">
        <v>69</v>
      </c>
      <c r="C71" s="3" t="s">
        <v>1</v>
      </c>
    </row>
    <row r="72" spans="2:3" x14ac:dyDescent="0.35">
      <c r="B72" s="1" t="s">
        <v>70</v>
      </c>
      <c r="C72" s="3" t="s">
        <v>1</v>
      </c>
    </row>
    <row r="73" spans="2:3" x14ac:dyDescent="0.35">
      <c r="B73" s="1" t="s">
        <v>71</v>
      </c>
      <c r="C73" s="3" t="s">
        <v>1</v>
      </c>
    </row>
    <row r="74" spans="2:3" x14ac:dyDescent="0.35">
      <c r="B74" s="1" t="s">
        <v>72</v>
      </c>
      <c r="C74" s="3" t="s">
        <v>1</v>
      </c>
    </row>
    <row r="75" spans="2:3" x14ac:dyDescent="0.35">
      <c r="B75" s="1" t="s">
        <v>73</v>
      </c>
      <c r="C75" s="3" t="s">
        <v>1</v>
      </c>
    </row>
    <row r="76" spans="2:3" x14ac:dyDescent="0.35">
      <c r="B76" s="1" t="s">
        <v>74</v>
      </c>
      <c r="C76" s="3" t="s">
        <v>1</v>
      </c>
    </row>
    <row r="77" spans="2:3" x14ac:dyDescent="0.35">
      <c r="B77" s="1" t="s">
        <v>75</v>
      </c>
      <c r="C77" s="3" t="s">
        <v>1</v>
      </c>
    </row>
    <row r="79" spans="2:3" x14ac:dyDescent="0.35">
      <c r="B79" s="1" t="s">
        <v>76</v>
      </c>
      <c r="C79" s="3" t="s">
        <v>1</v>
      </c>
    </row>
    <row r="80" spans="2:3" x14ac:dyDescent="0.35">
      <c r="B80" s="1" t="s">
        <v>43</v>
      </c>
      <c r="C80" s="3" t="s">
        <v>1</v>
      </c>
    </row>
    <row r="81" spans="2:3" x14ac:dyDescent="0.35">
      <c r="B81" s="1" t="s">
        <v>44</v>
      </c>
      <c r="C81" s="3" t="s">
        <v>1</v>
      </c>
    </row>
    <row r="82" spans="2:3" x14ac:dyDescent="0.35">
      <c r="B82" s="1" t="s">
        <v>45</v>
      </c>
      <c r="C82" s="3" t="s">
        <v>1</v>
      </c>
    </row>
    <row r="83" spans="2:3" x14ac:dyDescent="0.35">
      <c r="B83" s="1" t="s">
        <v>77</v>
      </c>
      <c r="C83" s="3" t="s">
        <v>1</v>
      </c>
    </row>
    <row r="84" spans="2:3" x14ac:dyDescent="0.35">
      <c r="B84" s="1" t="s">
        <v>78</v>
      </c>
      <c r="C84" s="3" t="s">
        <v>1</v>
      </c>
    </row>
    <row r="85" spans="2:3" x14ac:dyDescent="0.35">
      <c r="B85" s="1" t="s">
        <v>79</v>
      </c>
      <c r="C85" s="3" t="s">
        <v>1</v>
      </c>
    </row>
    <row r="86" spans="2:3" x14ac:dyDescent="0.35">
      <c r="B86" s="1" t="s">
        <v>80</v>
      </c>
      <c r="C86" s="3" t="s">
        <v>1</v>
      </c>
    </row>
    <row r="87" spans="2:3" x14ac:dyDescent="0.35">
      <c r="B87" s="1" t="s">
        <v>81</v>
      </c>
      <c r="C87" s="3" t="s">
        <v>1</v>
      </c>
    </row>
    <row r="88" spans="2:3" x14ac:dyDescent="0.35">
      <c r="B88" s="1" t="s">
        <v>82</v>
      </c>
      <c r="C88" s="3" t="s">
        <v>1</v>
      </c>
    </row>
    <row r="89" spans="2:3" x14ac:dyDescent="0.35">
      <c r="B89" s="1" t="s">
        <v>83</v>
      </c>
      <c r="C89" s="3" t="s">
        <v>1</v>
      </c>
    </row>
    <row r="90" spans="2:3" x14ac:dyDescent="0.35">
      <c r="B90" s="1" t="s">
        <v>84</v>
      </c>
      <c r="C90" s="3" t="s">
        <v>1</v>
      </c>
    </row>
    <row r="91" spans="2:3" x14ac:dyDescent="0.35">
      <c r="B91" s="1" t="s">
        <v>85</v>
      </c>
      <c r="C91" s="3" t="s">
        <v>1</v>
      </c>
    </row>
    <row r="92" spans="2:3" x14ac:dyDescent="0.35">
      <c r="B92" s="1" t="s">
        <v>86</v>
      </c>
      <c r="C92" s="3" t="s">
        <v>1</v>
      </c>
    </row>
    <row r="93" spans="2:3" x14ac:dyDescent="0.35">
      <c r="B93" s="1" t="s">
        <v>87</v>
      </c>
      <c r="C93" s="3" t="s">
        <v>1</v>
      </c>
    </row>
    <row r="94" spans="2:3" x14ac:dyDescent="0.35">
      <c r="B94" s="1" t="s">
        <v>88</v>
      </c>
      <c r="C94" s="3" t="s">
        <v>1</v>
      </c>
    </row>
    <row r="95" spans="2:3" x14ac:dyDescent="0.35">
      <c r="B95" s="1" t="s">
        <v>89</v>
      </c>
      <c r="C95" s="3" t="s">
        <v>1</v>
      </c>
    </row>
    <row r="96" spans="2:3" x14ac:dyDescent="0.35">
      <c r="B96" s="1" t="s">
        <v>90</v>
      </c>
      <c r="C96" s="3" t="s">
        <v>1</v>
      </c>
    </row>
    <row r="97" spans="2:3" x14ac:dyDescent="0.35">
      <c r="B97" s="1" t="s">
        <v>91</v>
      </c>
      <c r="C97" s="3" t="s">
        <v>1</v>
      </c>
    </row>
    <row r="98" spans="2:3" x14ac:dyDescent="0.35">
      <c r="B98" s="1" t="s">
        <v>92</v>
      </c>
      <c r="C98" s="3" t="s">
        <v>1</v>
      </c>
    </row>
    <row r="99" spans="2:3" x14ac:dyDescent="0.35">
      <c r="B99" s="1" t="s">
        <v>93</v>
      </c>
      <c r="C99" s="3" t="s">
        <v>1</v>
      </c>
    </row>
    <row r="100" spans="2:3" x14ac:dyDescent="0.35">
      <c r="B100" s="1" t="s">
        <v>94</v>
      </c>
      <c r="C100" s="3" t="s">
        <v>1</v>
      </c>
    </row>
    <row r="101" spans="2:3" x14ac:dyDescent="0.35">
      <c r="B101" s="1" t="s">
        <v>95</v>
      </c>
      <c r="C101" s="3" t="s">
        <v>1</v>
      </c>
    </row>
    <row r="102" spans="2:3" x14ac:dyDescent="0.35">
      <c r="B102" s="1" t="s">
        <v>96</v>
      </c>
      <c r="C102" s="3" t="s">
        <v>1</v>
      </c>
    </row>
    <row r="103" spans="2:3" x14ac:dyDescent="0.35">
      <c r="B103" s="1" t="s">
        <v>97</v>
      </c>
      <c r="C103" s="3" t="s">
        <v>1</v>
      </c>
    </row>
    <row r="104" spans="2:3" x14ac:dyDescent="0.35">
      <c r="B104" s="1" t="s">
        <v>98</v>
      </c>
      <c r="C104" s="3" t="s">
        <v>1</v>
      </c>
    </row>
    <row r="105" spans="2:3" x14ac:dyDescent="0.35">
      <c r="B105" s="1" t="s">
        <v>99</v>
      </c>
      <c r="C105" s="3" t="s">
        <v>1</v>
      </c>
    </row>
    <row r="106" spans="2:3" x14ac:dyDescent="0.35">
      <c r="B106" s="1" t="s">
        <v>100</v>
      </c>
      <c r="C106" s="3" t="s">
        <v>1</v>
      </c>
    </row>
    <row r="107" spans="2:3" x14ac:dyDescent="0.35">
      <c r="B107" s="1" t="s">
        <v>101</v>
      </c>
      <c r="C107" s="3" t="s">
        <v>1</v>
      </c>
    </row>
    <row r="108" spans="2:3" x14ac:dyDescent="0.35">
      <c r="B108" s="1" t="s">
        <v>102</v>
      </c>
      <c r="C108" s="3" t="s">
        <v>1</v>
      </c>
    </row>
    <row r="109" spans="2:3" x14ac:dyDescent="0.35">
      <c r="B109" s="1" t="s">
        <v>103</v>
      </c>
      <c r="C109" s="3" t="s">
        <v>1</v>
      </c>
    </row>
    <row r="110" spans="2:3" x14ac:dyDescent="0.35">
      <c r="B110" s="1" t="s">
        <v>104</v>
      </c>
      <c r="C110" s="3" t="s">
        <v>1</v>
      </c>
    </row>
    <row r="111" spans="2:3" x14ac:dyDescent="0.35">
      <c r="B111" s="1" t="s">
        <v>105</v>
      </c>
      <c r="C111" s="3" t="s">
        <v>1</v>
      </c>
    </row>
    <row r="112" spans="2:3" x14ac:dyDescent="0.35">
      <c r="B112" s="1" t="s">
        <v>106</v>
      </c>
      <c r="C112" s="3" t="s">
        <v>1</v>
      </c>
    </row>
    <row r="113" spans="2:3" x14ac:dyDescent="0.35">
      <c r="B113" s="1" t="s">
        <v>107</v>
      </c>
      <c r="C113" s="3" t="s">
        <v>1</v>
      </c>
    </row>
    <row r="114" spans="2:3" x14ac:dyDescent="0.35">
      <c r="B114" s="1" t="s">
        <v>108</v>
      </c>
      <c r="C114" s="3" t="s">
        <v>1</v>
      </c>
    </row>
    <row r="115" spans="2:3" x14ac:dyDescent="0.35">
      <c r="B115" s="1" t="s">
        <v>109</v>
      </c>
      <c r="C115" s="3" t="s">
        <v>1</v>
      </c>
    </row>
    <row r="116" spans="2:3" x14ac:dyDescent="0.35">
      <c r="B116" s="1" t="s">
        <v>110</v>
      </c>
      <c r="C116" s="3" t="s">
        <v>1</v>
      </c>
    </row>
    <row r="117" spans="2:3" x14ac:dyDescent="0.35">
      <c r="B117" s="1" t="s">
        <v>111</v>
      </c>
      <c r="C117" s="3" t="s">
        <v>1</v>
      </c>
    </row>
    <row r="118" spans="2:3" x14ac:dyDescent="0.35">
      <c r="B118" s="1" t="s">
        <v>112</v>
      </c>
      <c r="C118" s="3" t="s">
        <v>1</v>
      </c>
    </row>
    <row r="119" spans="2:3" x14ac:dyDescent="0.35">
      <c r="B119" s="1" t="s">
        <v>113</v>
      </c>
      <c r="C119" s="3" t="s">
        <v>1</v>
      </c>
    </row>
    <row r="120" spans="2:3" x14ac:dyDescent="0.35">
      <c r="B120" s="1" t="s">
        <v>114</v>
      </c>
      <c r="C120" s="3" t="s">
        <v>1</v>
      </c>
    </row>
    <row r="121" spans="2:3" x14ac:dyDescent="0.35">
      <c r="B121" s="1" t="s">
        <v>115</v>
      </c>
      <c r="C121" s="3" t="s">
        <v>1</v>
      </c>
    </row>
    <row r="122" spans="2:3" x14ac:dyDescent="0.35">
      <c r="B122" s="1" t="s">
        <v>116</v>
      </c>
      <c r="C122" s="3" t="s">
        <v>1</v>
      </c>
    </row>
    <row r="123" spans="2:3" x14ac:dyDescent="0.35">
      <c r="B123" s="1" t="s">
        <v>117</v>
      </c>
      <c r="C123" s="3" t="s">
        <v>1</v>
      </c>
    </row>
    <row r="124" spans="2:3" x14ac:dyDescent="0.35">
      <c r="B124" s="1" t="s">
        <v>118</v>
      </c>
      <c r="C124" s="3" t="s">
        <v>1</v>
      </c>
    </row>
    <row r="125" spans="2:3" x14ac:dyDescent="0.35">
      <c r="B125" s="1" t="s">
        <v>119</v>
      </c>
      <c r="C125" s="3" t="s">
        <v>1</v>
      </c>
    </row>
    <row r="126" spans="2:3" x14ac:dyDescent="0.35">
      <c r="B126" s="1" t="s">
        <v>120</v>
      </c>
      <c r="C126" s="3" t="s">
        <v>1</v>
      </c>
    </row>
    <row r="127" spans="2:3" x14ac:dyDescent="0.35">
      <c r="B127" s="1" t="s">
        <v>121</v>
      </c>
      <c r="C127" s="3" t="s">
        <v>1</v>
      </c>
    </row>
    <row r="128" spans="2:3" x14ac:dyDescent="0.35">
      <c r="B128" s="1" t="s">
        <v>122</v>
      </c>
      <c r="C128" s="3" t="s">
        <v>1</v>
      </c>
    </row>
    <row r="129" spans="2:3" x14ac:dyDescent="0.35">
      <c r="B129" s="1" t="s">
        <v>123</v>
      </c>
      <c r="C129" s="3" t="s">
        <v>1</v>
      </c>
    </row>
    <row r="130" spans="2:3" x14ac:dyDescent="0.35">
      <c r="B130" s="1" t="s">
        <v>124</v>
      </c>
      <c r="C130" s="3" t="s">
        <v>1</v>
      </c>
    </row>
    <row r="131" spans="2:3" x14ac:dyDescent="0.35">
      <c r="B131" s="1" t="s">
        <v>125</v>
      </c>
      <c r="C131" s="3" t="s">
        <v>1</v>
      </c>
    </row>
    <row r="132" spans="2:3" x14ac:dyDescent="0.35">
      <c r="B132" s="1" t="s">
        <v>126</v>
      </c>
      <c r="C132" s="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workbookViewId="0"/>
  </sheetViews>
  <sheetFormatPr defaultRowHeight="14.5" x14ac:dyDescent="0.35"/>
  <sheetData>
    <row r="1" spans="1:3" x14ac:dyDescent="0.35">
      <c r="A1">
        <v>5</v>
      </c>
      <c r="C1">
        <f>A1+A2</f>
        <v>12</v>
      </c>
    </row>
    <row r="2" spans="1:3" x14ac:dyDescent="0.35">
      <c r="A2" t="s">
        <v>127</v>
      </c>
      <c r="C2">
        <f>A1+A3</f>
        <v>6</v>
      </c>
    </row>
    <row r="3" spans="1:3" x14ac:dyDescent="0.35">
      <c r="A3" t="b">
        <f>TRUE</f>
        <v>1</v>
      </c>
      <c r="C3">
        <f>A1+A4</f>
        <v>5</v>
      </c>
    </row>
    <row r="4" spans="1:3" x14ac:dyDescent="0.35">
      <c r="C4" t="e">
        <f>A1+A5</f>
        <v>#VALUE!</v>
      </c>
    </row>
    <row r="5" spans="1:3" x14ac:dyDescent="0.35">
      <c r="A5" t="s">
        <v>128</v>
      </c>
      <c r="C5" t="str">
        <f>A1&amp;A2</f>
        <v>57</v>
      </c>
    </row>
    <row r="6" spans="1:3" x14ac:dyDescent="0.35">
      <c r="A6">
        <v>0.1</v>
      </c>
      <c r="C6" t="str">
        <f>A6+A7&amp;""</f>
        <v>0.3</v>
      </c>
    </row>
    <row r="7" spans="1:3" x14ac:dyDescent="0.35">
      <c r="A7">
        <v>0.2</v>
      </c>
      <c r="C7" t="str">
        <f>A3&amp;""</f>
        <v>TRUE</v>
      </c>
    </row>
    <row r="8" spans="1:3" x14ac:dyDescent="0.35">
      <c r="A8">
        <v>-2</v>
      </c>
      <c r="C8" t="b">
        <f>A1=A2</f>
        <v>0</v>
      </c>
    </row>
    <row r="9" spans="1:3" x14ac:dyDescent="0.35">
      <c r="C9" t="b">
        <f>A1&lt;A5</f>
        <v>1</v>
      </c>
    </row>
    <row r="10" spans="1:3" x14ac:dyDescent="0.35">
      <c r="C10" t="b">
        <f>A3&gt;A5</f>
        <v>1</v>
      </c>
    </row>
    <row r="11" spans="1:3" x14ac:dyDescent="0.35">
      <c r="C11" t="b">
        <f>"ABC"="abc"</f>
        <v>1</v>
      </c>
    </row>
    <row r="12" spans="1:3" x14ac:dyDescent="0.35">
      <c r="C12" t="b">
        <f>A4=0</f>
        <v>1</v>
      </c>
    </row>
    <row r="13" spans="1:3" x14ac:dyDescent="0.35">
      <c r="C13" t="b">
        <f>A4=""</f>
        <v>1</v>
      </c>
    </row>
    <row r="14" spans="1:3" x14ac:dyDescent="0.35">
      <c r="C14">
        <f>-A8^2</f>
        <v>4</v>
      </c>
    </row>
    <row r="15" spans="1:3" x14ac:dyDescent="0.35">
      <c r="C15">
        <f>2^3^2</f>
        <v>64</v>
      </c>
    </row>
    <row r="16" spans="1:3" x14ac:dyDescent="0.35">
      <c r="C16" t="e">
        <f>A1/A4</f>
        <v>#DIV/0!</v>
      </c>
    </row>
    <row r="17" spans="3:3" x14ac:dyDescent="0.35">
      <c r="C17" t="e">
        <f>0^0</f>
        <v>#NUM!</v>
      </c>
    </row>
    <row r="18" spans="3:3" x14ac:dyDescent="0.35">
      <c r="C18">
        <f>50%</f>
        <v>0.5</v>
      </c>
    </row>
    <row r="19" spans="3:3" x14ac:dyDescent="0.35">
      <c r="C19">
        <f>A2*2</f>
        <v>14</v>
      </c>
    </row>
    <row r="20" spans="3:3" x14ac:dyDescent="0.35">
      <c r="C20" t="str">
        <f>1/3&amp;""</f>
        <v>0.333333333333333</v>
      </c>
    </row>
    <row r="21" spans="3:3" x14ac:dyDescent="0.35">
      <c r="C21" t="str">
        <f>0.0000001&amp;""</f>
        <v>0.0000001</v>
      </c>
    </row>
    <row r="22" spans="3:3" x14ac:dyDescent="0.35">
      <c r="C22" t="str">
        <f>10^21&amp;""</f>
        <v>1E+21</v>
      </c>
    </row>
    <row r="23" spans="3:3" x14ac:dyDescent="0.35">
      <c r="C23" t="str">
        <f>10^20&amp;""</f>
        <v>1E+20</v>
      </c>
    </row>
    <row r="24" spans="3:3" x14ac:dyDescent="0.35">
      <c r="C24">
        <f>-"5"</f>
        <v>-5</v>
      </c>
    </row>
    <row r="25" spans="3:3" x14ac:dyDescent="0.35">
      <c r="C25" t="str">
        <f>+"5"</f>
        <v>5</v>
      </c>
    </row>
    <row r="26" spans="3:3" x14ac:dyDescent="0.35">
      <c r="C26" t="e">
        <f>1E+307*100</f>
        <v>#NUM!</v>
      </c>
    </row>
    <row r="27" spans="3:3" x14ac:dyDescent="0.35">
      <c r="C27">
        <f>(1=1)+1</f>
        <v>2</v>
      </c>
    </row>
    <row r="28" spans="3:3" x14ac:dyDescent="0.35">
      <c r="C28" t="e">
        <f>A8^0.5</f>
        <v>#NUM!</v>
      </c>
    </row>
    <row r="29" spans="3:3" x14ac:dyDescent="0.35">
      <c r="C29" t="e">
        <f>0^-1</f>
        <v>#DIV/0!</v>
      </c>
    </row>
    <row r="30" spans="3:3" x14ac:dyDescent="0.35">
      <c r="C30" t="b">
        <f>A2=7</f>
        <v>0</v>
      </c>
    </row>
    <row r="31" spans="3:3" x14ac:dyDescent="0.35">
      <c r="C31" t="b">
        <f>A1&lt;&gt;A4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7"/>
  <sheetViews>
    <sheetView workbookViewId="0"/>
  </sheetViews>
  <sheetFormatPr defaultRowHeight="14.5" x14ac:dyDescent="0.35"/>
  <sheetData>
    <row r="1" spans="1:3" x14ac:dyDescent="0.35">
      <c r="A1">
        <v>10</v>
      </c>
      <c r="C1" t="str">
        <f>IF(A1&gt;5,"big","small")</f>
        <v>big</v>
      </c>
    </row>
    <row r="2" spans="1:3" x14ac:dyDescent="0.35">
      <c r="A2">
        <v>20</v>
      </c>
      <c r="C2">
        <f>IF(A5,1,2)</f>
        <v>2</v>
      </c>
    </row>
    <row r="3" spans="1:3" x14ac:dyDescent="0.35">
      <c r="A3" t="s">
        <v>129</v>
      </c>
      <c r="C3" t="e">
        <f>IF(A3,1,2)</f>
        <v>#VALUE!</v>
      </c>
    </row>
    <row r="4" spans="1:3" x14ac:dyDescent="0.35">
      <c r="A4" t="b">
        <f>TRUE</f>
        <v>1</v>
      </c>
      <c r="C4" t="b">
        <f>IF(FALSE,1)</f>
        <v>0</v>
      </c>
    </row>
    <row r="5" spans="1:3" x14ac:dyDescent="0.35">
      <c r="A5">
        <v>0</v>
      </c>
      <c r="C5">
        <f>IF(TRUE,,1)</f>
        <v>0</v>
      </c>
    </row>
    <row r="6" spans="1:3" x14ac:dyDescent="0.35">
      <c r="A6" t="s">
        <v>130</v>
      </c>
      <c r="C6">
        <f>IF(A6,1,2)</f>
        <v>1</v>
      </c>
    </row>
    <row r="7" spans="1:3" x14ac:dyDescent="0.35">
      <c r="C7" t="b">
        <f>AND(A1&gt;5,A2&gt;5)</f>
        <v>1</v>
      </c>
    </row>
    <row r="8" spans="1:3" x14ac:dyDescent="0.35">
      <c r="C8" t="b">
        <f>AND(A1:A5)</f>
        <v>0</v>
      </c>
    </row>
    <row r="9" spans="1:3" x14ac:dyDescent="0.35">
      <c r="C9" t="b">
        <f>OR(A5,A3)</f>
        <v>0</v>
      </c>
    </row>
    <row r="10" spans="1:3" x14ac:dyDescent="0.35">
      <c r="C10" t="b">
        <f>OR(A5:A6,FALSE)</f>
        <v>0</v>
      </c>
    </row>
    <row r="11" spans="1:3" x14ac:dyDescent="0.35">
      <c r="C11" t="b">
        <f>NOT(A5)</f>
        <v>1</v>
      </c>
    </row>
    <row r="12" spans="1:3" x14ac:dyDescent="0.35">
      <c r="C12" t="e">
        <f>AND(A3)</f>
        <v>#VALUE!</v>
      </c>
    </row>
    <row r="13" spans="1:3" x14ac:dyDescent="0.35">
      <c r="C13" t="e">
        <f>AND(A6)</f>
        <v>#VALUE!</v>
      </c>
    </row>
    <row r="14" spans="1:3" x14ac:dyDescent="0.35">
      <c r="C14" t="str" cm="1">
        <f t="array" ref="C14">_xlfn.IFS(A1&gt;15,"big",A1&gt;5,"mid",TRUE,"small")</f>
        <v>mid</v>
      </c>
    </row>
    <row r="15" spans="1:3" x14ac:dyDescent="0.35">
      <c r="C15" t="e" cm="1">
        <f t="array" ref="C15">_xlfn.IFS(A1&gt;15,"big")</f>
        <v>#N/A</v>
      </c>
    </row>
    <row r="16" spans="1:3" x14ac:dyDescent="0.35">
      <c r="C16" t="str" cm="1">
        <f t="array" ref="C16">CHOOSE(2,"a","b","c")</f>
        <v>b</v>
      </c>
    </row>
    <row r="17" spans="3:3" x14ac:dyDescent="0.35">
      <c r="C17" t="str" cm="1">
        <f t="array" ref="C17">CHOOSE(2.9,"a","b","c")</f>
        <v>b</v>
      </c>
    </row>
    <row r="18" spans="3:3" x14ac:dyDescent="0.35">
      <c r="C18" t="e" cm="1">
        <f t="array" ref="C18">CHOOSE(0,"a")</f>
        <v>#VALUE!</v>
      </c>
    </row>
    <row r="19" spans="3:3" x14ac:dyDescent="0.35">
      <c r="C19" t="b">
        <f>ISNUMBER(A1)</f>
        <v>1</v>
      </c>
    </row>
    <row r="20" spans="3:3" x14ac:dyDescent="0.35">
      <c r="C20" t="b">
        <f>ISNUMBER(A3)</f>
        <v>0</v>
      </c>
    </row>
    <row r="21" spans="3:3" x14ac:dyDescent="0.35">
      <c r="C21" t="b">
        <f>ISNUMBER(1/0)</f>
        <v>0</v>
      </c>
    </row>
    <row r="22" spans="3:3" x14ac:dyDescent="0.35">
      <c r="C22" t="b">
        <f>ISBLANK(A9)</f>
        <v>1</v>
      </c>
    </row>
    <row r="23" spans="3:3" x14ac:dyDescent="0.35">
      <c r="C23" t="b">
        <f>ISBLANK(A1)</f>
        <v>0</v>
      </c>
    </row>
    <row r="24" spans="3:3" x14ac:dyDescent="0.35">
      <c r="C24" t="b">
        <f>ISNUMBER(A6)</f>
        <v>0</v>
      </c>
    </row>
    <row r="25" spans="3:3" x14ac:dyDescent="0.35">
      <c r="C25" t="e">
        <f>IF(1/0,1,2)</f>
        <v>#DIV/0!</v>
      </c>
    </row>
    <row r="26" spans="3:3" x14ac:dyDescent="0.35">
      <c r="C26" t="e">
        <f>AND(TRUE,1/0)</f>
        <v>#DIV/0!</v>
      </c>
    </row>
    <row r="27" spans="3:3" x14ac:dyDescent="0.35">
      <c r="C27" t="e">
        <f>IF(A1&gt;5,A1:A2,0)</f>
        <v>#VALUE!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5"/>
  <sheetViews>
    <sheetView workbookViewId="0"/>
  </sheetViews>
  <sheetFormatPr defaultRowHeight="14.5" x14ac:dyDescent="0.35"/>
  <sheetData>
    <row r="1" spans="1:3" x14ac:dyDescent="0.35">
      <c r="A1">
        <v>10</v>
      </c>
      <c r="B1">
        <v>1</v>
      </c>
      <c r="C1">
        <f>SUM(A1:A6)</f>
        <v>60</v>
      </c>
    </row>
    <row r="2" spans="1:3" x14ac:dyDescent="0.35">
      <c r="A2">
        <v>20</v>
      </c>
      <c r="B2">
        <v>2</v>
      </c>
      <c r="C2">
        <f>SUM(A1,"5",TRUE)</f>
        <v>16</v>
      </c>
    </row>
    <row r="3" spans="1:3" x14ac:dyDescent="0.35">
      <c r="A3" t="s">
        <v>129</v>
      </c>
      <c r="C3">
        <f>SUM(A3)</f>
        <v>0</v>
      </c>
    </row>
    <row r="4" spans="1:3" x14ac:dyDescent="0.35">
      <c r="A4">
        <v>30</v>
      </c>
      <c r="B4">
        <v>4</v>
      </c>
      <c r="C4" t="e">
        <f>SUM("x")</f>
        <v>#VALUE!</v>
      </c>
    </row>
    <row r="5" spans="1:3" x14ac:dyDescent="0.35">
      <c r="C5">
        <f>MIN(A1:A6)</f>
        <v>10</v>
      </c>
    </row>
    <row r="6" spans="1:3" x14ac:dyDescent="0.35">
      <c r="A6" t="b">
        <f>TRUE</f>
        <v>1</v>
      </c>
      <c r="C6">
        <f>MAX(A1:A6)</f>
        <v>30</v>
      </c>
    </row>
    <row r="7" spans="1:3" x14ac:dyDescent="0.35">
      <c r="C7">
        <f>MIN(A3)</f>
        <v>0</v>
      </c>
    </row>
    <row r="8" spans="1:3" x14ac:dyDescent="0.35">
      <c r="C8">
        <f>AVERAGE(A1:A6)</f>
        <v>20</v>
      </c>
    </row>
    <row r="9" spans="1:3" x14ac:dyDescent="0.35">
      <c r="C9" t="e">
        <f>AVERAGE(A3)</f>
        <v>#DIV/0!</v>
      </c>
    </row>
    <row r="10" spans="1:3" x14ac:dyDescent="0.35">
      <c r="C10">
        <f>ABS(-3.5)</f>
        <v>3.5</v>
      </c>
    </row>
    <row r="11" spans="1:3" x14ac:dyDescent="0.35">
      <c r="C11">
        <f>INT(-1.5)</f>
        <v>-2</v>
      </c>
    </row>
    <row r="12" spans="1:3" x14ac:dyDescent="0.35">
      <c r="C12">
        <f>INT(1.5)</f>
        <v>1</v>
      </c>
    </row>
    <row r="13" spans="1:3" x14ac:dyDescent="0.35">
      <c r="C13">
        <f>MOD(-7,3)</f>
        <v>2</v>
      </c>
    </row>
    <row r="14" spans="1:3" x14ac:dyDescent="0.35">
      <c r="C14">
        <f>MOD(7,-3)</f>
        <v>-2</v>
      </c>
    </row>
    <row r="15" spans="1:3" x14ac:dyDescent="0.35">
      <c r="C15" t="e">
        <f>MOD(7,0)</f>
        <v>#DIV/0!</v>
      </c>
    </row>
    <row r="16" spans="1:3" x14ac:dyDescent="0.35">
      <c r="C16">
        <f>MOD(5.5,2)</f>
        <v>1.5</v>
      </c>
    </row>
    <row r="17" spans="3:3" x14ac:dyDescent="0.35">
      <c r="C17">
        <f>ROUND(2.675,2)</f>
        <v>2.68</v>
      </c>
    </row>
    <row r="18" spans="3:3" x14ac:dyDescent="0.35">
      <c r="C18">
        <f>ROUND(-2.5,0)</f>
        <v>-3</v>
      </c>
    </row>
    <row r="19" spans="3:3" x14ac:dyDescent="0.35">
      <c r="C19">
        <f>ROUND(1234.5678,-2)</f>
        <v>1200</v>
      </c>
    </row>
    <row r="20" spans="3:3" x14ac:dyDescent="0.35">
      <c r="C20">
        <f>ROUND(1.234,1.9)</f>
        <v>1.2</v>
      </c>
    </row>
    <row r="21" spans="3:3" x14ac:dyDescent="0.35">
      <c r="C21">
        <f>ROUND(0.5,0)</f>
        <v>1</v>
      </c>
    </row>
    <row r="22" spans="3:3" x14ac:dyDescent="0.35">
      <c r="C22">
        <f>ROUND(1.005,2)</f>
        <v>1.01</v>
      </c>
    </row>
    <row r="23" spans="3:3" x14ac:dyDescent="0.35">
      <c r="C23">
        <f>ROW()</f>
        <v>23</v>
      </c>
    </row>
    <row r="24" spans="3:3" x14ac:dyDescent="0.35">
      <c r="C24">
        <f>COLUMN()</f>
        <v>3</v>
      </c>
    </row>
    <row r="25" spans="3:3" x14ac:dyDescent="0.35">
      <c r="C25">
        <f>ROW(A4)</f>
        <v>4</v>
      </c>
    </row>
    <row r="26" spans="3:3" x14ac:dyDescent="0.35">
      <c r="C26">
        <f>COLUMN(B1:C2)</f>
        <v>2</v>
      </c>
    </row>
    <row r="27" spans="3:3" x14ac:dyDescent="0.35">
      <c r="C27">
        <f>SIN(0)</f>
        <v>0</v>
      </c>
    </row>
    <row r="28" spans="3:3" x14ac:dyDescent="0.35">
      <c r="C28">
        <f>SIN(1)</f>
        <v>0.8414709848078965</v>
      </c>
    </row>
    <row r="29" spans="3:3" x14ac:dyDescent="0.35">
      <c r="C29">
        <f>SUMIF(A1:A6,"&gt;15")</f>
        <v>50</v>
      </c>
    </row>
    <row r="30" spans="3:3" x14ac:dyDescent="0.35">
      <c r="C30">
        <f>SUMIF(A1:A6,"&gt;15",B1:B6)</f>
        <v>6</v>
      </c>
    </row>
    <row r="31" spans="3:3" x14ac:dyDescent="0.35">
      <c r="C31">
        <f>COUNTIF(A1:A6,"&gt;15")</f>
        <v>2</v>
      </c>
    </row>
    <row r="32" spans="3:3" x14ac:dyDescent="0.35">
      <c r="C32">
        <f>COUNTIF(A1:A6,"x")</f>
        <v>1</v>
      </c>
    </row>
    <row r="33" spans="3:3" x14ac:dyDescent="0.35">
      <c r="C33">
        <f>COUNTIF(A1:A8,"")</f>
        <v>3</v>
      </c>
    </row>
    <row r="34" spans="3:3" x14ac:dyDescent="0.35">
      <c r="C34">
        <f>COUNTIF(A1:A6,"&lt;&gt;10")</f>
        <v>5</v>
      </c>
    </row>
    <row r="35" spans="3:3" x14ac:dyDescent="0.35">
      <c r="C35">
        <f>COUNTIF(A1:A6,"*")</f>
        <v>1</v>
      </c>
    </row>
    <row r="36" spans="3:3" x14ac:dyDescent="0.35">
      <c r="C36">
        <f>COUNTIF(A1:A6,10)</f>
        <v>1</v>
      </c>
    </row>
    <row r="37" spans="3:3" x14ac:dyDescent="0.35">
      <c r="C37">
        <f>COUNTIF(A1:A6,TRUE)</f>
        <v>1</v>
      </c>
    </row>
    <row r="38" spans="3:3" x14ac:dyDescent="0.35">
      <c r="C38">
        <f>SUMIF(A1:A6,"x",B1:B6)</f>
        <v>0</v>
      </c>
    </row>
    <row r="39" spans="3:3" x14ac:dyDescent="0.35">
      <c r="C39">
        <f>COUNTIF(B1:B4,"&lt;&gt;")</f>
        <v>3</v>
      </c>
    </row>
    <row r="40" spans="3:3" x14ac:dyDescent="0.35">
      <c r="C40">
        <f>SUM(Output!A1,logic!A1)</f>
        <v>15</v>
      </c>
    </row>
    <row r="41" spans="3:3" x14ac:dyDescent="0.35">
      <c r="C41">
        <f>SUM(Output:logic!A1)</f>
        <v>15</v>
      </c>
    </row>
    <row r="42" spans="3:3" x14ac:dyDescent="0.35">
      <c r="C42">
        <f>VLOOKUP(10,A1:B2,2)</f>
        <v>1</v>
      </c>
    </row>
    <row r="43" spans="3:3" x14ac:dyDescent="0.35">
      <c r="C43" t="str">
        <f>CONCATENATE("a","b")</f>
        <v>ab</v>
      </c>
    </row>
    <row r="44" spans="3:3" x14ac:dyDescent="0.35">
      <c r="C44">
        <f>C42+1</f>
        <v>2</v>
      </c>
    </row>
    <row r="45" spans="3:3" x14ac:dyDescent="0.35">
      <c r="C45">
        <f>SUM(C1:C3)</f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Frazaro</vt:lpstr>
      <vt:lpstr>Output</vt:lpstr>
      <vt:lpstr>logic</vt:lpstr>
      <vt:lpstr>math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Preston Johnson</dc:creator>
  <cp:lastModifiedBy>Preston Johnson</cp:lastModifiedBy>
  <dcterms:created xsi:type="dcterms:W3CDTF">2026-10-09T06:58:40Z</dcterms:created>
  <dcterms:modified xsi:type="dcterms:W3CDTF">2026-10-09T06:58:40Z</dcterms:modified>
</cp:coreProperties>
</file>