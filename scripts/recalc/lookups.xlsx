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frazaro_1.xml" ContentType="application/vnd.openxmlformats-officedocument.spreadsheetml.worksheet+xml"/>
  <Override PartName="/xl/worksheets/frazaro_2.xml" ContentType="application/vnd.openxmlformats-officedocument.spreadsheetml.worksheet+xml"/>
  <Override PartName="/xl/worksheets/frazaro_3.xml" ContentType="application/vnd.openxmlformats-officedocument.spreadsheetml.worksheet+xml"/>
  <Override PartName="/xl/worksheets/frazaro_4.xml" ContentType="application/vnd.openxmlformats-officedocument.spreadsheetml.worksheet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razaro" sheetId="1" r:id="rIdFrazaro1"/>
    <sheet name="table" sheetId="2" r:id="rIdFrazaro2"/>
    <sheet name="lookups" sheetId="3" r:id="rIdFrazaro3"/>
    <sheet name="criteria" sheetId="4" r:id="rIdFrazaro4"/>
  </sheets>
  <definedNames>
    <definedName name="Frazaro.Build">"Frazaro 0.10.1; sentences sha256:5817A05EC17BE068C4633E228FF5A89D5F807559AB75C2392A9F06E225FD3C21 over 10660 non-whitespace bytes; prelude sha256:887F55C46AA71563EE5DE0F74E3D4DB1C0022986248AD1FBF8A7A63711AC508C over 27033 non-whitespace bytes; phrasebook 1 sha256:5E5FF4121AA83D783E926C1A78B8E8C7C45BFE1E1184340F8D93A0285DDCB949 over 167902 non-whitespace bytes"</definedName>
  </definedNames>
  <calcPr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7F4F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0" xfId="0" applyNumberFormat="1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Frazaro1" Type="http://schemas.openxmlformats.org/officeDocument/2006/relationships/worksheet" Target="worksheets/frazaro_1.xml"/>
<Relationship Id="rIdFrazaro2" Type="http://schemas.openxmlformats.org/officeDocument/2006/relationships/worksheet" Target="worksheets/frazaro_2.xml"/>
<Relationship Id="rIdFrazaro3" Type="http://schemas.openxmlformats.org/officeDocument/2006/relationships/worksheet" Target="worksheets/frazaro_3.xml"/>
<Relationship Id="rIdFrazaro4" Type="http://schemas.openxmlformats.org/officeDocument/2006/relationships/worksheet" Target="worksheets/frazaro_4.xml"/>
<Relationship Id="rIdFrazaroStyles" Type="http://schemas.openxmlformats.org/officeDocument/2006/relationships/styles" Target="styles.xml"/>
<Relationship Id="rIdFrazaroMetadata" Type="http://schemas.openxmlformats.org/officeDocument/2006/relationships/sheetMetadata" Target="metadata.xml"/>
</Relationships>

</file>

<file path=xl/worksheets/frazaro_1.xml><?xml version="1.0" encoding="utf-8"?>
<worksheet xmlns="http://schemas.openxmlformats.org/spreadsheetml/2006/main" xmlns:r="http://schemas.openxmlformats.org/officeDocument/2006/relationships">
  <dimension ref="B1:C279"/>
  <sheetViews>
    <sheetView showGridLines="0" tabSelected="1" workbookViewId="0">
      <selection activeCell="B1" sqref="B1"/>
    </sheetView>
  </sheetViews>
  <sheetFormatPr defaultRowHeight="15"/>
  <cols>
    <col min="1" max="1" width="0" hidden="1" customWidth="1"/>
    <col min="2" max="2" width="72.7109375" customWidth="1" style="1"/>
    <col min="3" max="3" width="60.7109375" customWidth="1" style="2"/>
  </cols>
  <sheetData>
    <row r="1">
      <c r="B1" s="1" t="inlineStr">
        <is>
          <t xml:space="preserve"># The lookups' fixture (KERNEL.8, slice a): one formula per function, mode and rule the slice computes, over a</t>
        </is>
      </c>
      <c r="C1" s="3" t="inlineStr">
        <is>
          <t xml:space="preserve">OK</t>
        </is>
      </c>
    </row>
    <row r="2">
      <c r="B2" s="1" t="inlineStr">
        <is>
          <t xml:space="preserve"># Table sheet of vectors: ascending, descending, texts in two cases (letters alone, so that every rule orders them</t>
        </is>
      </c>
      <c r="C2" s="3" t="inlineStr">
        <is>
          <t xml:space="preserve">OK</t>
        </is>
      </c>
    </row>
    <row r="3">
      <c r="B3" s="1" t="inlineStr">
        <is>
          <t xml:space="preserve"># alike), every kind with an empty cell, an error and duplicates, and unsorted vectors on which the bisection's</t>
        </is>
      </c>
      <c r="C3" s="3" t="inlineStr">
        <is>
          <t xml:space="preserve">OK</t>
        </is>
      </c>
    </row>
    <row r="4">
      <c r="B4" s="1" t="inlineStr">
        <is>
          <t xml:space="preserve"># candidate rules answer differently. The Criteria sheet holds SUMIF and COUNTIF over the equality an index keys and</t>
        </is>
      </c>
      <c r="C4" s="3" t="inlineStr">
        <is>
          <t xml:space="preserve">OK</t>
        </is>
      </c>
    </row>
    <row r="5">
      <c r="B5" s="1" t="inlineStr">
        <is>
          <t xml:space="preserve"># the sizes and patterns the scan answers, an error in a sum range at a row met and at a row not met, and the two</t>
        </is>
      </c>
      <c r="C5" s="3" t="inlineStr">
        <is>
          <t xml:space="preserve">OK</t>
        </is>
      </c>
    </row>
    <row r="6">
      <c r="B6" s="1" t="inlineStr">
        <is>
          <t xml:space="preserve"># questions the equality turns on: a letter's case beyond ASCII, and two numbers equal to fifteen digits alone.</t>
        </is>
      </c>
      <c r="C6" s="3" t="inlineStr">
        <is>
          <t xml:space="preserve">OK</t>
        </is>
      </c>
    </row>
    <row r="7">
      <c r="B7" s="1" t="inlineStr">
        <is>
          <t xml:space="preserve"># Built by frazaro into lookups.xlsx (each value it computes held); the owner's save of it is lookups_saved.xlsx.</t>
        </is>
      </c>
      <c r="C7" s="3" t="inlineStr">
        <is>
          <t xml:space="preserve">OK</t>
        </is>
      </c>
    </row>
    <row r="9">
      <c r="B9" s="1" t="inlineStr">
        <is>
          <t xml:space="preserve">Work on sheet Table.</t>
        </is>
      </c>
      <c r="C9" s="3" t="inlineStr">
        <is>
          <t xml:space="preserve">OK</t>
        </is>
      </c>
    </row>
    <row r="10">
      <c r="B10" s="1" t="inlineStr">
        <is>
          <t xml:space="preserve">Put 10 into cell A1.</t>
        </is>
      </c>
      <c r="C10" s="3" t="inlineStr">
        <is>
          <t xml:space="preserve">OK</t>
        </is>
      </c>
    </row>
    <row r="11">
      <c r="B11" s="1" t="inlineStr">
        <is>
          <t xml:space="preserve">Put 20 into cell A2.</t>
        </is>
      </c>
      <c r="C11" s="3" t="inlineStr">
        <is>
          <t xml:space="preserve">OK</t>
        </is>
      </c>
    </row>
    <row r="12">
      <c r="B12" s="1" t="inlineStr">
        <is>
          <t xml:space="preserve">Put 30 into cell A3.</t>
        </is>
      </c>
      <c r="C12" s="3" t="inlineStr">
        <is>
          <t xml:space="preserve">OK</t>
        </is>
      </c>
    </row>
    <row r="13">
      <c r="B13" s="1" t="inlineStr">
        <is>
          <t xml:space="preserve">Put 40 into cell A4.</t>
        </is>
      </c>
      <c r="C13" s="3" t="inlineStr">
        <is>
          <t xml:space="preserve">OK</t>
        </is>
      </c>
    </row>
    <row r="14">
      <c r="B14" s="1" t="inlineStr">
        <is>
          <t xml:space="preserve">Put 50 into cell A5.</t>
        </is>
      </c>
      <c r="C14" s="3" t="inlineStr">
        <is>
          <t xml:space="preserve">OK</t>
        </is>
      </c>
    </row>
    <row r="15">
      <c r="B15" s="1" t="inlineStr">
        <is>
          <t xml:space="preserve">Put 60 into cell A6.</t>
        </is>
      </c>
      <c r="C15" s="3" t="inlineStr">
        <is>
          <t xml:space="preserve">OK</t>
        </is>
      </c>
    </row>
    <row r="16">
      <c r="B16" s="1" t="inlineStr">
        <is>
          <t xml:space="preserve">Put 70 into cell A7.</t>
        </is>
      </c>
      <c r="C16" s="3" t="inlineStr">
        <is>
          <t xml:space="preserve">OK</t>
        </is>
      </c>
    </row>
    <row r="17">
      <c r="B17" s="1" t="inlineStr">
        <is>
          <t xml:space="preserve">Put 80 into cell A8.</t>
        </is>
      </c>
      <c r="C17" s="3" t="inlineStr">
        <is>
          <t xml:space="preserve">OK</t>
        </is>
      </c>
    </row>
    <row r="18">
      <c r="B18" s="1" t="inlineStr">
        <is>
          <t xml:space="preserve">Put "r1" into cell B1.</t>
        </is>
      </c>
      <c r="C18" s="3" t="inlineStr">
        <is>
          <t xml:space="preserve">OK</t>
        </is>
      </c>
    </row>
    <row r="19">
      <c r="B19" s="1" t="inlineStr">
        <is>
          <t xml:space="preserve">Put "r2" into cell B2.</t>
        </is>
      </c>
      <c r="C19" s="3" t="inlineStr">
        <is>
          <t xml:space="preserve">OK</t>
        </is>
      </c>
    </row>
    <row r="20">
      <c r="B20" s="1" t="inlineStr">
        <is>
          <t xml:space="preserve">Put "r3" into cell B3.</t>
        </is>
      </c>
      <c r="C20" s="3" t="inlineStr">
        <is>
          <t xml:space="preserve">OK</t>
        </is>
      </c>
    </row>
    <row r="21">
      <c r="B21" s="1" t="inlineStr">
        <is>
          <t xml:space="preserve">Put "r4" into cell B4.</t>
        </is>
      </c>
      <c r="C21" s="3" t="inlineStr">
        <is>
          <t xml:space="preserve">OK</t>
        </is>
      </c>
    </row>
    <row r="22">
      <c r="B22" s="1" t="inlineStr">
        <is>
          <t xml:space="preserve">Put "r5" into cell B5.</t>
        </is>
      </c>
      <c r="C22" s="3" t="inlineStr">
        <is>
          <t xml:space="preserve">OK</t>
        </is>
      </c>
    </row>
    <row r="23">
      <c r="B23" s="1" t="inlineStr">
        <is>
          <t xml:space="preserve">Put "r6" into cell B6.</t>
        </is>
      </c>
      <c r="C23" s="3" t="inlineStr">
        <is>
          <t xml:space="preserve">OK</t>
        </is>
      </c>
    </row>
    <row r="24">
      <c r="B24" s="1" t="inlineStr">
        <is>
          <t xml:space="preserve">Put "r7" into cell B7.</t>
        </is>
      </c>
      <c r="C24" s="3" t="inlineStr">
        <is>
          <t xml:space="preserve">OK</t>
        </is>
      </c>
    </row>
    <row r="25">
      <c r="B25" s="1" t="inlineStr">
        <is>
          <t xml:space="preserve">Put "r8" into cell B8.</t>
        </is>
      </c>
      <c r="C25" s="3" t="inlineStr">
        <is>
          <t xml:space="preserve">OK</t>
        </is>
      </c>
    </row>
    <row r="26">
      <c r="B26" s="1" t="inlineStr">
        <is>
          <t xml:space="preserve">Put 80 into cell C1.</t>
        </is>
      </c>
      <c r="C26" s="3" t="inlineStr">
        <is>
          <t xml:space="preserve">OK</t>
        </is>
      </c>
    </row>
    <row r="27">
      <c r="B27" s="1" t="inlineStr">
        <is>
          <t xml:space="preserve">Put 70 into cell C2.</t>
        </is>
      </c>
      <c r="C27" s="3" t="inlineStr">
        <is>
          <t xml:space="preserve">OK</t>
        </is>
      </c>
    </row>
    <row r="28">
      <c r="B28" s="1" t="inlineStr">
        <is>
          <t xml:space="preserve">Put 60 into cell C3.</t>
        </is>
      </c>
      <c r="C28" s="3" t="inlineStr">
        <is>
          <t xml:space="preserve">OK</t>
        </is>
      </c>
    </row>
    <row r="29">
      <c r="B29" s="1" t="inlineStr">
        <is>
          <t xml:space="preserve">Put 50 into cell C4.</t>
        </is>
      </c>
      <c r="C29" s="3" t="inlineStr">
        <is>
          <t xml:space="preserve">OK</t>
        </is>
      </c>
    </row>
    <row r="30">
      <c r="B30" s="1" t="inlineStr">
        <is>
          <t xml:space="preserve">Put 40 into cell C5.</t>
        </is>
      </c>
      <c r="C30" s="3" t="inlineStr">
        <is>
          <t xml:space="preserve">OK</t>
        </is>
      </c>
    </row>
    <row r="31">
      <c r="B31" s="1" t="inlineStr">
        <is>
          <t xml:space="preserve">Put 30 into cell C6.</t>
        </is>
      </c>
      <c r="C31" s="3" t="inlineStr">
        <is>
          <t xml:space="preserve">OK</t>
        </is>
      </c>
    </row>
    <row r="32">
      <c r="B32" s="1" t="inlineStr">
        <is>
          <t xml:space="preserve">Put 20 into cell C7.</t>
        </is>
      </c>
      <c r="C32" s="3" t="inlineStr">
        <is>
          <t xml:space="preserve">OK</t>
        </is>
      </c>
    </row>
    <row r="33">
      <c r="B33" s="1" t="inlineStr">
        <is>
          <t xml:space="preserve">Put 10 into cell C8.</t>
        </is>
      </c>
      <c r="C33" s="3" t="inlineStr">
        <is>
          <t xml:space="preserve">OK</t>
        </is>
      </c>
    </row>
    <row r="34">
      <c r="B34" s="1" t="inlineStr">
        <is>
          <t xml:space="preserve">Put "apple" into cell D1.</t>
        </is>
      </c>
      <c r="C34" s="3" t="inlineStr">
        <is>
          <t xml:space="preserve">OK</t>
        </is>
      </c>
    </row>
    <row r="35">
      <c r="B35" s="1" t="inlineStr">
        <is>
          <t xml:space="preserve">Put "Banana" into cell D2.</t>
        </is>
      </c>
      <c r="C35" s="3" t="inlineStr">
        <is>
          <t xml:space="preserve">OK</t>
        </is>
      </c>
    </row>
    <row r="36">
      <c r="B36" s="1" t="inlineStr">
        <is>
          <t xml:space="preserve">Put "cherry" into cell D3.</t>
        </is>
      </c>
      <c r="C36" s="3" t="inlineStr">
        <is>
          <t xml:space="preserve">OK</t>
        </is>
      </c>
    </row>
    <row r="37">
      <c r="B37" s="1" t="inlineStr">
        <is>
          <t xml:space="preserve">Put "Date" into cell D4.</t>
        </is>
      </c>
      <c r="C37" s="3" t="inlineStr">
        <is>
          <t xml:space="preserve">OK</t>
        </is>
      </c>
    </row>
    <row r="38">
      <c r="B38" s="1" t="inlineStr">
        <is>
          <t xml:space="preserve">Put "elder" into cell D5.</t>
        </is>
      </c>
      <c r="C38" s="3" t="inlineStr">
        <is>
          <t xml:space="preserve">OK</t>
        </is>
      </c>
    </row>
    <row r="39">
      <c r="B39" s="1" t="inlineStr">
        <is>
          <t xml:space="preserve">Put "Fig" into cell D6.</t>
        </is>
      </c>
      <c r="C39" s="3" t="inlineStr">
        <is>
          <t xml:space="preserve">OK</t>
        </is>
      </c>
    </row>
    <row r="40">
      <c r="B40" s="1" t="inlineStr">
        <is>
          <t xml:space="preserve">Put "grape" into cell D7.</t>
        </is>
      </c>
      <c r="C40" s="3" t="inlineStr">
        <is>
          <t xml:space="preserve">OK</t>
        </is>
      </c>
    </row>
    <row r="41">
      <c r="B41" s="1" t="inlineStr">
        <is>
          <t xml:space="preserve">Put "Hazel" into cell D8.</t>
        </is>
      </c>
      <c r="C41" s="3" t="inlineStr">
        <is>
          <t xml:space="preserve">OK</t>
        </is>
      </c>
    </row>
    <row r="42">
      <c r="B42" s="1" t="inlineStr">
        <is>
          <t xml:space="preserve">Put 5 into cell E1.</t>
        </is>
      </c>
      <c r="C42" s="3" t="inlineStr">
        <is>
          <t xml:space="preserve">OK</t>
        </is>
      </c>
    </row>
    <row r="43">
      <c r="B43" s="1" t="inlineStr">
        <is>
          <t xml:space="preserve">Put "5" into cell E2.</t>
        </is>
      </c>
      <c r="C43" s="3" t="inlineStr">
        <is>
          <t xml:space="preserve">OK</t>
        </is>
      </c>
    </row>
    <row r="44">
      <c r="B44" s="1" t="inlineStr">
        <is>
          <t xml:space="preserve">Put formula "=TRUE" into cell E3.</t>
        </is>
      </c>
      <c r="C44" s="3" t="inlineStr">
        <is>
          <t xml:space="preserve">OK</t>
        </is>
      </c>
    </row>
    <row r="45">
      <c r="B45" s="1" t="inlineStr">
        <is>
          <t xml:space="preserve">Put formula "=1/0" into cell E5.</t>
        </is>
      </c>
      <c r="C45" s="3" t="inlineStr">
        <is>
          <t xml:space="preserve">OK</t>
        </is>
      </c>
    </row>
    <row r="46">
      <c r="B46" s="1" t="inlineStr">
        <is>
          <t xml:space="preserve">Put 5 into cell E6.</t>
        </is>
      </c>
      <c r="C46" s="3" t="inlineStr">
        <is>
          <t xml:space="preserve">OK</t>
        </is>
      </c>
    </row>
    <row r="47">
      <c r="B47" s="1" t="inlineStr">
        <is>
          <t xml:space="preserve">Put "x" into cell E7.</t>
        </is>
      </c>
      <c r="C47" s="3" t="inlineStr">
        <is>
          <t xml:space="preserve">OK</t>
        </is>
      </c>
    </row>
    <row r="48">
      <c r="B48" s="1" t="inlineStr">
        <is>
          <t xml:space="preserve">Put "X" into cell E8.</t>
        </is>
      </c>
      <c r="C48" s="3" t="inlineStr">
        <is>
          <t xml:space="preserve">OK</t>
        </is>
      </c>
    </row>
    <row r="49">
      <c r="B49" s="1" t="inlineStr">
        <is>
          <t xml:space="preserve">Put 0 into cell E9.</t>
        </is>
      </c>
      <c r="C49" s="3" t="inlineStr">
        <is>
          <t xml:space="preserve">OK</t>
        </is>
      </c>
    </row>
    <row r="50">
      <c r="B50" s="1" t="inlineStr">
        <is>
          <t xml:space="preserve">Put formula "=FALSE" into cell E10.</t>
        </is>
      </c>
      <c r="C50" s="3" t="inlineStr">
        <is>
          <t xml:space="preserve">OK</t>
        </is>
      </c>
    </row>
    <row r="51">
      <c r="B51" s="1" t="inlineStr">
        <is>
          <t xml:space="preserve">Put 50 into cell F1.</t>
        </is>
      </c>
      <c r="C51" s="3" t="inlineStr">
        <is>
          <t xml:space="preserve">OK</t>
        </is>
      </c>
    </row>
    <row r="52">
      <c r="B52" s="1" t="inlineStr">
        <is>
          <t xml:space="preserve">Put 10 into cell F2.</t>
        </is>
      </c>
      <c r="C52" s="3" t="inlineStr">
        <is>
          <t xml:space="preserve">OK</t>
        </is>
      </c>
    </row>
    <row r="53">
      <c r="B53" s="1" t="inlineStr">
        <is>
          <t xml:space="preserve">Put 70 into cell F3.</t>
        </is>
      </c>
      <c r="C53" s="3" t="inlineStr">
        <is>
          <t xml:space="preserve">OK</t>
        </is>
      </c>
    </row>
    <row r="54">
      <c r="B54" s="1" t="inlineStr">
        <is>
          <t xml:space="preserve">Put 20 into cell F4.</t>
        </is>
      </c>
      <c r="C54" s="3" t="inlineStr">
        <is>
          <t xml:space="preserve">OK</t>
        </is>
      </c>
    </row>
    <row r="55">
      <c r="B55" s="1" t="inlineStr">
        <is>
          <t xml:space="preserve">Put 80 into cell F5.</t>
        </is>
      </c>
      <c r="C55" s="3" t="inlineStr">
        <is>
          <t xml:space="preserve">OK</t>
        </is>
      </c>
    </row>
    <row r="56">
      <c r="B56" s="1" t="inlineStr">
        <is>
          <t xml:space="preserve">Put 30 into cell F6.</t>
        </is>
      </c>
      <c r="C56" s="3" t="inlineStr">
        <is>
          <t xml:space="preserve">OK</t>
        </is>
      </c>
    </row>
    <row r="57">
      <c r="B57" s="1" t="inlineStr">
        <is>
          <t xml:space="preserve">Put 60 into cell F7.</t>
        </is>
      </c>
      <c r="C57" s="3" t="inlineStr">
        <is>
          <t xml:space="preserve">OK</t>
        </is>
      </c>
    </row>
    <row r="58">
      <c r="B58" s="1" t="inlineStr">
        <is>
          <t xml:space="preserve">Put 40 into cell F8.</t>
        </is>
      </c>
      <c r="C58" s="3" t="inlineStr">
        <is>
          <t xml:space="preserve">OK</t>
        </is>
      </c>
    </row>
    <row r="59">
      <c r="B59" s="1" t="inlineStr">
        <is>
          <t xml:space="preserve">Put 10 into cell G1.</t>
        </is>
      </c>
      <c r="C59" s="3" t="inlineStr">
        <is>
          <t xml:space="preserve">OK</t>
        </is>
      </c>
    </row>
    <row r="60">
      <c r="B60" s="1" t="inlineStr">
        <is>
          <t xml:space="preserve">Put "x" into cell G2.</t>
        </is>
      </c>
      <c r="C60" s="3" t="inlineStr">
        <is>
          <t xml:space="preserve">OK</t>
        </is>
      </c>
    </row>
    <row r="61">
      <c r="B61" s="1" t="inlineStr">
        <is>
          <t xml:space="preserve">Put 20 into cell G3.</t>
        </is>
      </c>
      <c r="C61" s="3" t="inlineStr">
        <is>
          <t xml:space="preserve">OK</t>
        </is>
      </c>
    </row>
    <row r="62">
      <c r="B62" s="1" t="inlineStr">
        <is>
          <t xml:space="preserve">Put "y" into cell G4.</t>
        </is>
      </c>
      <c r="C62" s="3" t="inlineStr">
        <is>
          <t xml:space="preserve">OK</t>
        </is>
      </c>
    </row>
    <row r="63">
      <c r="B63" s="1" t="inlineStr">
        <is>
          <t xml:space="preserve">Put 30 into cell G5.</t>
        </is>
      </c>
      <c r="C63" s="3" t="inlineStr">
        <is>
          <t xml:space="preserve">OK</t>
        </is>
      </c>
    </row>
    <row r="64">
      <c r="B64" s="1" t="inlineStr">
        <is>
          <t xml:space="preserve">Put formula "=TRUE" into cell G6.</t>
        </is>
      </c>
      <c r="C64" s="3" t="inlineStr">
        <is>
          <t xml:space="preserve">OK</t>
        </is>
      </c>
    </row>
    <row r="65">
      <c r="B65" s="1" t="inlineStr">
        <is>
          <t xml:space="preserve">Put 40 into cell G7.</t>
        </is>
      </c>
      <c r="C65" s="3" t="inlineStr">
        <is>
          <t xml:space="preserve">OK</t>
        </is>
      </c>
    </row>
    <row r="66">
      <c r="B66" s="1" t="inlineStr">
        <is>
          <t xml:space="preserve">Put 50 into cell G9.</t>
        </is>
      </c>
      <c r="C66" s="3" t="inlineStr">
        <is>
          <t xml:space="preserve">OK</t>
        </is>
      </c>
    </row>
    <row r="67">
      <c r="B67" s="1" t="inlineStr">
        <is>
          <t xml:space="preserve">Put 1 into cell A12.</t>
        </is>
      </c>
      <c r="C67" s="3" t="inlineStr">
        <is>
          <t xml:space="preserve">OK</t>
        </is>
      </c>
    </row>
    <row r="68">
      <c r="B68" s="1" t="inlineStr">
        <is>
          <t xml:space="preserve">Put 2 into cell B12.</t>
        </is>
      </c>
      <c r="C68" s="3" t="inlineStr">
        <is>
          <t xml:space="preserve">OK</t>
        </is>
      </c>
    </row>
    <row r="69">
      <c r="B69" s="1" t="inlineStr">
        <is>
          <t xml:space="preserve">Put 3 into cell C12.</t>
        </is>
      </c>
      <c r="C69" s="3" t="inlineStr">
        <is>
          <t xml:space="preserve">OK</t>
        </is>
      </c>
    </row>
    <row r="70">
      <c r="B70" s="1" t="inlineStr">
        <is>
          <t xml:space="preserve">Put 4 into cell D12.</t>
        </is>
      </c>
      <c r="C70" s="3" t="inlineStr">
        <is>
          <t xml:space="preserve">OK</t>
        </is>
      </c>
    </row>
    <row r="71">
      <c r="B71" s="1" t="inlineStr">
        <is>
          <t xml:space="preserve">Put 5 into cell E12.</t>
        </is>
      </c>
      <c r="C71" s="3" t="inlineStr">
        <is>
          <t xml:space="preserve">OK</t>
        </is>
      </c>
    </row>
    <row r="72">
      <c r="B72" s="1" t="inlineStr">
        <is>
          <t xml:space="preserve">Put 6 into cell F12.</t>
        </is>
      </c>
      <c r="C72" s="3" t="inlineStr">
        <is>
          <t xml:space="preserve">OK</t>
        </is>
      </c>
    </row>
    <row r="73">
      <c r="B73" s="1" t="inlineStr">
        <is>
          <t xml:space="preserve">Put 7 into cell G12.</t>
        </is>
      </c>
      <c r="C73" s="3" t="inlineStr">
        <is>
          <t xml:space="preserve">OK</t>
        </is>
      </c>
    </row>
    <row r="74">
      <c r="B74" s="1" t="inlineStr">
        <is>
          <t xml:space="preserve">Put 8 into cell H12.</t>
        </is>
      </c>
      <c r="C74" s="3" t="inlineStr">
        <is>
          <t xml:space="preserve">OK</t>
        </is>
      </c>
    </row>
    <row r="75">
      <c r="B75" s="1" t="inlineStr">
        <is>
          <t xml:space="preserve">Put "one" into cell A13.</t>
        </is>
      </c>
      <c r="C75" s="3" t="inlineStr">
        <is>
          <t xml:space="preserve">OK</t>
        </is>
      </c>
    </row>
    <row r="76">
      <c r="B76" s="1" t="inlineStr">
        <is>
          <t xml:space="preserve">Put "two" into cell B13.</t>
        </is>
      </c>
      <c r="C76" s="3" t="inlineStr">
        <is>
          <t xml:space="preserve">OK</t>
        </is>
      </c>
    </row>
    <row r="77">
      <c r="B77" s="1" t="inlineStr">
        <is>
          <t xml:space="preserve">Put "three" into cell C13.</t>
        </is>
      </c>
      <c r="C77" s="3" t="inlineStr">
        <is>
          <t xml:space="preserve">OK</t>
        </is>
      </c>
    </row>
    <row r="78">
      <c r="B78" s="1" t="inlineStr">
        <is>
          <t xml:space="preserve">Put "four" into cell D13.</t>
        </is>
      </c>
      <c r="C78" s="3" t="inlineStr">
        <is>
          <t xml:space="preserve">OK</t>
        </is>
      </c>
    </row>
    <row r="79">
      <c r="B79" s="1" t="inlineStr">
        <is>
          <t xml:space="preserve">Put "five" into cell E13.</t>
        </is>
      </c>
      <c r="C79" s="3" t="inlineStr">
        <is>
          <t xml:space="preserve">OK</t>
        </is>
      </c>
    </row>
    <row r="80">
      <c r="B80" s="1" t="inlineStr">
        <is>
          <t xml:space="preserve">Put "six" into cell F13.</t>
        </is>
      </c>
      <c r="C80" s="3" t="inlineStr">
        <is>
          <t xml:space="preserve">OK</t>
        </is>
      </c>
    </row>
    <row r="81">
      <c r="B81" s="1" t="inlineStr">
        <is>
          <t xml:space="preserve">Put "seven" into cell G13.</t>
        </is>
      </c>
      <c r="C81" s="3" t="inlineStr">
        <is>
          <t xml:space="preserve">OK</t>
        </is>
      </c>
    </row>
    <row r="82">
      <c r="B82" s="1" t="inlineStr">
        <is>
          <t xml:space="preserve">Put "eight" into cell H13.</t>
        </is>
      </c>
      <c r="C82" s="3" t="inlineStr">
        <is>
          <t xml:space="preserve">OK</t>
        </is>
      </c>
    </row>
    <row r="84">
      <c r="B84" s="1" t="inlineStr">
        <is>
          <t xml:space="preserve">Work on sheet Lookups.</t>
        </is>
      </c>
      <c r="C84" s="3" t="inlineStr">
        <is>
          <t xml:space="preserve">OK</t>
        </is>
      </c>
    </row>
    <row r="85">
      <c r="B85" s="1" t="inlineStr">
        <is>
          <t xml:space="preserve">Put formula "=MATCH(30,Table!A1:A8,0)" into cell A1.</t>
        </is>
      </c>
      <c r="C85" s="3" t="inlineStr">
        <is>
          <t xml:space="preserve">OK</t>
        </is>
      </c>
    </row>
    <row r="86">
      <c r="B86" s="1" t="inlineStr">
        <is>
          <t xml:space="preserve">Put formula "=MATCH(35,Table!A1:A8,1)" into cell A2.</t>
        </is>
      </c>
      <c r="C86" s="3" t="inlineStr">
        <is>
          <t xml:space="preserve">OK</t>
        </is>
      </c>
    </row>
    <row r="87">
      <c r="B87" s="1" t="inlineStr">
        <is>
          <t xml:space="preserve">Put formula "=MATCH(35,Table!A1:A8)" into cell A3.</t>
        </is>
      </c>
      <c r="C87" s="3" t="inlineStr">
        <is>
          <t xml:space="preserve">OK</t>
        </is>
      </c>
    </row>
    <row r="88">
      <c r="B88" s="1" t="inlineStr">
        <is>
          <t xml:space="preserve">Put formula "=MATCH(5,Table!A1:A8)" into cell A4.</t>
        </is>
      </c>
      <c r="C88" s="3" t="inlineStr">
        <is>
          <t xml:space="preserve">OK</t>
        </is>
      </c>
    </row>
    <row r="89">
      <c r="B89" s="1" t="inlineStr">
        <is>
          <t xml:space="preserve">Put formula "=MATCH(99,Table!A1:A8)" into cell A5.</t>
        </is>
      </c>
      <c r="C89" s="3" t="inlineStr">
        <is>
          <t xml:space="preserve">OK</t>
        </is>
      </c>
    </row>
    <row r="90">
      <c r="B90" s="1" t="inlineStr">
        <is>
          <t xml:space="preserve">Put formula "=MATCH(35,Table!C1:C8,-1)" into cell A6.</t>
        </is>
      </c>
      <c r="C90" s="3" t="inlineStr">
        <is>
          <t xml:space="preserve">OK</t>
        </is>
      </c>
    </row>
    <row r="91">
      <c r="B91" s="1" t="inlineStr">
        <is>
          <t xml:space="preserve">Put formula "=MATCH(5,Table!C1:C8,-1)" into cell A7.</t>
        </is>
      </c>
      <c r="C91" s="3" t="inlineStr">
        <is>
          <t xml:space="preserve">OK</t>
        </is>
      </c>
    </row>
    <row r="92">
      <c r="B92" s="1" t="inlineStr">
        <is>
          <t xml:space="preserve">Put formula "=MATCH(99,Table!C1:C8,-1)" into cell A8.</t>
        </is>
      </c>
      <c r="C92" s="3" t="inlineStr">
        <is>
          <t xml:space="preserve">OK</t>
        </is>
      </c>
    </row>
    <row r="93">
      <c r="B93" s="1" t="inlineStr">
        <is>
          <t xml:space="preserve">Put formula "=MATCH(""BANANA"",Table!D1:D8,0)" into cell A9.</t>
        </is>
      </c>
      <c r="C93" s="3" t="inlineStr">
        <is>
          <t xml:space="preserve">OK</t>
        </is>
      </c>
    </row>
    <row r="94">
      <c r="B94" s="1" t="inlineStr">
        <is>
          <t xml:space="preserve">Put formula "=MATCH(""b*"",Table!D1:D8,0)" into cell A10.</t>
        </is>
      </c>
      <c r="C94" s="3" t="inlineStr">
        <is>
          <t xml:space="preserve">OK</t>
        </is>
      </c>
    </row>
    <row r="95">
      <c r="B95" s="1" t="inlineStr">
        <is>
          <t xml:space="preserve">Put formula "=MATCH(""?ig"",Table!D1:D8,0)" into cell A11.</t>
        </is>
      </c>
      <c r="C95" s="3" t="inlineStr">
        <is>
          <t xml:space="preserve">OK</t>
        </is>
      </c>
    </row>
    <row r="96">
      <c r="B96" s="1" t="inlineStr">
        <is>
          <t xml:space="preserve">Put formula "=MATCH(""*e*"",Table!D1:D8,0)" into cell A12.</t>
        </is>
      </c>
      <c r="C96" s="3" t="inlineStr">
        <is>
          <t xml:space="preserve">OK</t>
        </is>
      </c>
    </row>
    <row r="97">
      <c r="B97" s="1" t="inlineStr">
        <is>
          <t xml:space="preserve">Put formula "=MATCH(""cherrz"",Table!D1:D8,1)" into cell A13.</t>
        </is>
      </c>
      <c r="C97" s="3" t="inlineStr">
        <is>
          <t xml:space="preserve">OK</t>
        </is>
      </c>
    </row>
    <row r="98">
      <c r="B98" s="1" t="inlineStr">
        <is>
          <t xml:space="preserve">Put formula "=MATCH(""5"",Table!E1:E10,0)" into cell A14.</t>
        </is>
      </c>
      <c r="C98" s="3" t="inlineStr">
        <is>
          <t xml:space="preserve">OK</t>
        </is>
      </c>
    </row>
    <row r="99">
      <c r="B99" s="1" t="inlineStr">
        <is>
          <t xml:space="preserve">Put formula "=MATCH(5,Table!E1:E10,0)" into cell A15.</t>
        </is>
      </c>
      <c r="C99" s="3" t="inlineStr">
        <is>
          <t xml:space="preserve">OK</t>
        </is>
      </c>
    </row>
    <row r="100">
      <c r="B100" s="1" t="inlineStr">
        <is>
          <t xml:space="preserve">Put formula "=MATCH(TRUE,Table!E1:E10,0)" into cell A16.</t>
        </is>
      </c>
      <c r="C100" s="3" t="inlineStr">
        <is>
          <t xml:space="preserve">OK</t>
        </is>
      </c>
    </row>
    <row r="101">
      <c r="B101" s="1" t="inlineStr">
        <is>
          <t xml:space="preserve">Put formula "=MATCH(""X"",Table!E1:E10,0)" into cell A17.</t>
        </is>
      </c>
      <c r="C101" s="3" t="inlineStr">
        <is>
          <t xml:space="preserve">OK</t>
        </is>
      </c>
    </row>
    <row r="102">
      <c r="B102" s="1" t="inlineStr">
        <is>
          <t xml:space="preserve">Put formula "=MATCH(0,Table!E1:E10,0)" into cell A18.</t>
        </is>
      </c>
      <c r="C102" s="3" t="inlineStr">
        <is>
          <t xml:space="preserve">OK</t>
        </is>
      </c>
    </row>
    <row r="103">
      <c r="B103" s="1" t="inlineStr">
        <is>
          <t xml:space="preserve">Put formula "=MATCH(FALSE,Table!E1:E10,0)" into cell A19.</t>
        </is>
      </c>
      <c r="C103" s="3" t="inlineStr">
        <is>
          <t xml:space="preserve">OK</t>
        </is>
      </c>
    </row>
    <row r="104">
      <c r="B104" s="1" t="inlineStr">
        <is>
          <t xml:space="preserve">Put formula "=MATCH(30,Table!A1:B8,0)" into cell A20.</t>
        </is>
      </c>
      <c r="C104" s="3" t="inlineStr">
        <is>
          <t xml:space="preserve">OK</t>
        </is>
      </c>
    </row>
    <row r="105">
      <c r="B105" s="1" t="inlineStr">
        <is>
          <t xml:space="preserve">Put formula "=MATCH(35,Table!A1:A8,)" into cell A21.</t>
        </is>
      </c>
      <c r="C105" s="3" t="inlineStr">
        <is>
          <t xml:space="preserve">OK</t>
        </is>
      </c>
    </row>
    <row r="106">
      <c r="B106" s="1" t="inlineStr">
        <is>
          <t xml:space="preserve">Put formula "=MATCH(3,Table!A12:H12,0)" into cell A22.</t>
        </is>
      </c>
      <c r="C106" s="3" t="inlineStr">
        <is>
          <t xml:space="preserve">OK</t>
        </is>
      </c>
    </row>
    <row r="107">
      <c r="B107" s="1" t="inlineStr">
        <is>
          <t xml:space="preserve">Put formula "=MATCH(45,Table!F1:F8,1)" into cell A23.</t>
        </is>
      </c>
      <c r="C107" s="3" t="inlineStr">
        <is>
          <t xml:space="preserve">OK</t>
        </is>
      </c>
    </row>
    <row r="108">
      <c r="B108" s="1" t="inlineStr">
        <is>
          <t xml:space="preserve">Put formula "=MATCH(25,Table!F1:F8,1)" into cell A24.</t>
        </is>
      </c>
      <c r="C108" s="3" t="inlineStr">
        <is>
          <t xml:space="preserve">OK</t>
        </is>
      </c>
    </row>
    <row r="109">
      <c r="B109" s="1" t="inlineStr">
        <is>
          <t xml:space="preserve">Put formula "=MATCH(65,Table!F1:F8)" into cell A25.</t>
        </is>
      </c>
      <c r="C109" s="3" t="inlineStr">
        <is>
          <t xml:space="preserve">OK</t>
        </is>
      </c>
    </row>
    <row r="110">
      <c r="B110" s="1" t="inlineStr">
        <is>
          <t xml:space="preserve">Put formula "=MATCH(15,Table!F1:F8,-1)" into cell A26.</t>
        </is>
      </c>
      <c r="C110" s="3" t="inlineStr">
        <is>
          <t xml:space="preserve">OK</t>
        </is>
      </c>
    </row>
    <row r="111">
      <c r="B111" s="1" t="inlineStr">
        <is>
          <t xml:space="preserve">Put formula "=MATCH(35,Table!G1:G9,1)" into cell A27.</t>
        </is>
      </c>
      <c r="C111" s="3" t="inlineStr">
        <is>
          <t xml:space="preserve">OK</t>
        </is>
      </c>
    </row>
    <row r="112">
      <c r="B112" s="1" t="inlineStr">
        <is>
          <t xml:space="preserve">Put formula "=MATCH(""xa"",Table!G1:G9,1)" into cell A28.</t>
        </is>
      </c>
      <c r="C112" s="3" t="inlineStr">
        <is>
          <t xml:space="preserve">OK</t>
        </is>
      </c>
    </row>
    <row r="113">
      <c r="B113" s="1" t="inlineStr">
        <is>
          <t xml:space="preserve">Put formula "=MATCH(TRUE,Table!G1:G9,1)" into cell A29.</t>
        </is>
      </c>
      <c r="C113" s="3" t="inlineStr">
        <is>
          <t xml:space="preserve">OK</t>
        </is>
      </c>
    </row>
    <row r="114">
      <c r="B114" s="1" t="inlineStr">
        <is>
          <t xml:space="preserve">Put formula "=MATCH(Table!E5,Table!A1:A8,0)" into cell A30.</t>
        </is>
      </c>
      <c r="C114" s="3" t="inlineStr">
        <is>
          <t xml:space="preserve">OK</t>
        </is>
      </c>
    </row>
    <row r="115">
      <c r="B115" s="1" t="inlineStr">
        <is>
          <t xml:space="preserve">Put formula "=XMATCH(""banana"",Table!D1:D8)" into cell A31.</t>
        </is>
      </c>
      <c r="C115" s="3" t="inlineStr">
        <is>
          <t xml:space="preserve">OK</t>
        </is>
      </c>
    </row>
    <row r="116">
      <c r="B116" s="1" t="inlineStr">
        <is>
          <t xml:space="preserve">Put formula "=XMATCH(35,Table!A1:A8)" into cell A32.</t>
        </is>
      </c>
      <c r="C116" s="3" t="inlineStr">
        <is>
          <t xml:space="preserve">OK</t>
        </is>
      </c>
    </row>
    <row r="117">
      <c r="B117" s="1" t="inlineStr">
        <is>
          <t xml:space="preserve">Put formula "=XMATCH(35,Table!A1:A8,1)" into cell A33.</t>
        </is>
      </c>
      <c r="C117" s="3" t="inlineStr">
        <is>
          <t xml:space="preserve">OK</t>
        </is>
      </c>
    </row>
    <row r="118">
      <c r="B118" s="1" t="inlineStr">
        <is>
          <t xml:space="preserve">Put formula "=XMATCH(35,Table!A1:A8,-1)" into cell A34.</t>
        </is>
      </c>
      <c r="C118" s="3" t="inlineStr">
        <is>
          <t xml:space="preserve">OK</t>
        </is>
      </c>
    </row>
    <row r="119">
      <c r="B119" s="1" t="inlineStr">
        <is>
          <t xml:space="preserve">Put formula "=XMATCH(35,Table!A1:A8,1,2)" into cell A35.</t>
        </is>
      </c>
      <c r="C119" s="3" t="inlineStr">
        <is>
          <t xml:space="preserve">OK</t>
        </is>
      </c>
    </row>
    <row r="120">
      <c r="B120" s="1" t="inlineStr">
        <is>
          <t xml:space="preserve">Put formula "=XMATCH(35,Table!A1:A8,-1,2)" into cell A36.</t>
        </is>
      </c>
      <c r="C120" s="3" t="inlineStr">
        <is>
          <t xml:space="preserve">OK</t>
        </is>
      </c>
    </row>
    <row r="121">
      <c r="B121" s="1" t="inlineStr">
        <is>
          <t xml:space="preserve">Put formula "=XMATCH(35,Table!C1:C8,1,-2)" into cell A37.</t>
        </is>
      </c>
      <c r="C121" s="3" t="inlineStr">
        <is>
          <t xml:space="preserve">OK</t>
        </is>
      </c>
    </row>
    <row r="122">
      <c r="B122" s="1" t="inlineStr">
        <is>
          <t xml:space="preserve">Put formula "=XMATCH(35,Table!C1:C8,-1,-2)" into cell A38.</t>
        </is>
      </c>
      <c r="C122" s="3" t="inlineStr">
        <is>
          <t xml:space="preserve">OK</t>
        </is>
      </c>
    </row>
    <row r="123">
      <c r="B123" s="1" t="inlineStr">
        <is>
          <t xml:space="preserve">Put formula "=XMATCH(""c*"",Table!D1:D8,2)" into cell A39.</t>
        </is>
      </c>
      <c r="C123" s="3" t="inlineStr">
        <is>
          <t xml:space="preserve">OK</t>
        </is>
      </c>
    </row>
    <row r="124">
      <c r="B124" s="1" t="inlineStr">
        <is>
          <t xml:space="preserve">Put formula "=XMATCH(""c*"",Table!D1:D8)" into cell A40.</t>
        </is>
      </c>
      <c r="C124" s="3" t="inlineStr">
        <is>
          <t xml:space="preserve">OK</t>
        </is>
      </c>
    </row>
    <row r="125">
      <c r="B125" s="1" t="inlineStr">
        <is>
          <t xml:space="preserve">Put formula "=XMATCH(5,Table!E1:E10,0,-1)" into cell A41.</t>
        </is>
      </c>
      <c r="C125" s="3" t="inlineStr">
        <is>
          <t xml:space="preserve">OK</t>
        </is>
      </c>
    </row>
    <row r="126">
      <c r="B126" s="1" t="inlineStr">
        <is>
          <t xml:space="preserve">Put formula "=XMATCH(45,Table!F1:F8,1)" into cell A42.</t>
        </is>
      </c>
      <c r="C126" s="3" t="inlineStr">
        <is>
          <t xml:space="preserve">OK</t>
        </is>
      </c>
    </row>
    <row r="127">
      <c r="B127" s="1" t="inlineStr">
        <is>
          <t xml:space="preserve">Put formula "=XMATCH(45,Table!F1:F8,-1)" into cell A43.</t>
        </is>
      </c>
      <c r="C127" s="3" t="inlineStr">
        <is>
          <t xml:space="preserve">OK</t>
        </is>
      </c>
    </row>
    <row r="128">
      <c r="B128" s="1" t="inlineStr">
        <is>
          <t xml:space="preserve">Put formula "=XMATCH(45,Table!F1:F8,1,2)" into cell A44.</t>
        </is>
      </c>
      <c r="C128" s="3" t="inlineStr">
        <is>
          <t xml:space="preserve">OK</t>
        </is>
      </c>
    </row>
    <row r="129">
      <c r="B129" s="1" t="inlineStr">
        <is>
          <t xml:space="preserve">Put formula "=XMATCH(45,Table!F1:F8,-1,2)" into cell A45.</t>
        </is>
      </c>
      <c r="C129" s="3" t="inlineStr">
        <is>
          <t xml:space="preserve">OK</t>
        </is>
      </c>
    </row>
    <row r="130">
      <c r="B130" s="1" t="inlineStr">
        <is>
          <t xml:space="preserve">Put formula "=XMATCH(30,Table!A1:A8,3)" into cell A46.</t>
        </is>
      </c>
      <c r="C130" s="3" t="inlineStr">
        <is>
          <t xml:space="preserve">OK</t>
        </is>
      </c>
    </row>
    <row r="131">
      <c r="B131" s="1" t="inlineStr">
        <is>
          <t xml:space="preserve">Put formula "=XMATCH(30,Table!A1:A8,0,3)" into cell A47.</t>
        </is>
      </c>
      <c r="C131" s="3" t="inlineStr">
        <is>
          <t xml:space="preserve">OK</t>
        </is>
      </c>
    </row>
    <row r="132">
      <c r="B132" s="1" t="inlineStr">
        <is>
          <t xml:space="preserve">Put formula "=XMATCH(""c*"",Table!D1:D8,2,2)" into cell A48.</t>
        </is>
      </c>
      <c r="C132" s="3" t="inlineStr">
        <is>
          <t xml:space="preserve">OK</t>
        </is>
      </c>
    </row>
    <row r="133">
      <c r="B133" s="1" t="inlineStr">
        <is>
          <t xml:space="preserve">Put formula "=XMATCH(30,Table!A1:B8)" into cell A49.</t>
        </is>
      </c>
      <c r="C133" s="3" t="inlineStr">
        <is>
          <t xml:space="preserve">OK</t>
        </is>
      </c>
    </row>
    <row r="134">
      <c r="B134" s="1" t="inlineStr">
        <is>
          <t xml:space="preserve">Put formula "=XMATCH(4,Table!A12:H12)" into cell A50.</t>
        </is>
      </c>
      <c r="C134" s="3" t="inlineStr">
        <is>
          <t xml:space="preserve">OK</t>
        </is>
      </c>
    </row>
    <row r="135">
      <c r="B135" s="1" t="inlineStr">
        <is>
          <t xml:space="preserve">Put formula "=XMATCH(0,Table!E1:E10)" into cell A51.</t>
        </is>
      </c>
      <c r="C135" s="3" t="inlineStr">
        <is>
          <t xml:space="preserve">OK</t>
        </is>
      </c>
    </row>
    <row r="136">
      <c r="B136" s="1" t="inlineStr">
        <is>
          <t xml:space="preserve">Put formula "=XMATCH(""x"",Table!E1:E10,0,-1)" into cell A52.</t>
        </is>
      </c>
      <c r="C136" s="3" t="inlineStr">
        <is>
          <t xml:space="preserve">OK</t>
        </is>
      </c>
    </row>
    <row r="137">
      <c r="B137" s="1" t="inlineStr">
        <is>
          <t xml:space="preserve">Put formula "=VLOOKUP(30,Table!A1:B8,2,FALSE)" into cell A53.</t>
        </is>
      </c>
      <c r="C137" s="3" t="inlineStr">
        <is>
          <t xml:space="preserve">OK</t>
        </is>
      </c>
    </row>
    <row r="138">
      <c r="B138" s="1" t="inlineStr">
        <is>
          <t xml:space="preserve">Put formula "=VLOOKUP(35,Table!A1:B8,2)" into cell A54.</t>
        </is>
      </c>
      <c r="C138" s="3" t="inlineStr">
        <is>
          <t xml:space="preserve">OK</t>
        </is>
      </c>
    </row>
    <row r="139">
      <c r="B139" s="1" t="inlineStr">
        <is>
          <t xml:space="preserve">Put formula "=VLOOKUP(35,Table!A1:B8,2,TRUE)" into cell A55.</t>
        </is>
      </c>
      <c r="C139" s="3" t="inlineStr">
        <is>
          <t xml:space="preserve">OK</t>
        </is>
      </c>
    </row>
    <row r="140">
      <c r="B140" s="1" t="inlineStr">
        <is>
          <t xml:space="preserve">Put formula "=VLOOKUP(35,Table!A1:B8,2,FALSE)" into cell A56.</t>
        </is>
      </c>
      <c r="C140" s="3" t="inlineStr">
        <is>
          <t xml:space="preserve">OK</t>
        </is>
      </c>
    </row>
    <row r="141">
      <c r="B141" s="1" t="inlineStr">
        <is>
          <t xml:space="preserve">Put formula "=VLOOKUP(35,Table!A1:B8,2,)" into cell A57.</t>
        </is>
      </c>
      <c r="C141" s="3" t="inlineStr">
        <is>
          <t xml:space="preserve">OK</t>
        </is>
      </c>
    </row>
    <row r="142">
      <c r="B142" s="1" t="inlineStr">
        <is>
          <t xml:space="preserve">Put formula "=VLOOKUP(30,Table!A1:B8,3,FALSE)" into cell A58.</t>
        </is>
      </c>
      <c r="C142" s="3" t="inlineStr">
        <is>
          <t xml:space="preserve">OK</t>
        </is>
      </c>
    </row>
    <row r="143">
      <c r="B143" s="1" t="inlineStr">
        <is>
          <t xml:space="preserve">Put formula "=VLOOKUP(30,Table!A1:B8,0,FALSE)" into cell A59.</t>
        </is>
      </c>
      <c r="C143" s="3" t="inlineStr">
        <is>
          <t xml:space="preserve">OK</t>
        </is>
      </c>
    </row>
    <row r="144">
      <c r="B144" s="1" t="inlineStr">
        <is>
          <t xml:space="preserve">Put formula "=VLOOKUP(""CHERRY"",Table!D1:E8,2,FALSE)" into cell A60.</t>
        </is>
      </c>
      <c r="C144" s="3" t="inlineStr">
        <is>
          <t xml:space="preserve">OK</t>
        </is>
      </c>
    </row>
    <row r="145">
      <c r="B145" s="1" t="inlineStr">
        <is>
          <t xml:space="preserve">Put formula "=VLOOKUP(""gr*"",Table!D1:E8,2,FALSE)" into cell A61.</t>
        </is>
      </c>
      <c r="C145" s="3" t="inlineStr">
        <is>
          <t xml:space="preserve">OK</t>
        </is>
      </c>
    </row>
    <row r="146">
      <c r="B146" s="1" t="inlineStr">
        <is>
          <t xml:space="preserve">Put formula "=VLOOKUP(40,Table!A1:E8,5,FALSE)" into cell A62.</t>
        </is>
      </c>
      <c r="C146" s="3" t="inlineStr">
        <is>
          <t xml:space="preserve">OK</t>
        </is>
      </c>
    </row>
    <row r="147">
      <c r="B147" s="1" t="inlineStr">
        <is>
          <t xml:space="preserve">Put formula "=VLOOKUP(5,Table!A1:B8,2)" into cell A63.</t>
        </is>
      </c>
      <c r="C147" s="3" t="inlineStr">
        <is>
          <t xml:space="preserve">OK</t>
        </is>
      </c>
    </row>
    <row r="148">
      <c r="B148" s="1" t="inlineStr">
        <is>
          <t xml:space="preserve">Put formula "=VLOOKUP(45,Table!F1:G8,2)" into cell A64.</t>
        </is>
      </c>
      <c r="C148" s="3" t="inlineStr">
        <is>
          <t xml:space="preserve">OK</t>
        </is>
      </c>
    </row>
    <row r="149">
      <c r="B149" s="1" t="inlineStr">
        <is>
          <t xml:space="preserve">Put formula "=VLOOKUP(30,Table!A1:B8,2.7,FALSE)" into cell A65.</t>
        </is>
      </c>
      <c r="C149" s="3" t="inlineStr">
        <is>
          <t xml:space="preserve">OK</t>
        </is>
      </c>
    </row>
    <row r="150">
      <c r="B150" s="1" t="inlineStr">
        <is>
          <t xml:space="preserve">Put formula "=VLOOKUP(""zzz"",Table!D1:E8,2)" into cell A66.</t>
        </is>
      </c>
      <c r="C150" s="3" t="inlineStr">
        <is>
          <t xml:space="preserve">OK</t>
        </is>
      </c>
    </row>
    <row r="151">
      <c r="B151" s="1" t="inlineStr">
        <is>
          <t xml:space="preserve">Put formula "=HLOOKUP(3,Table!A12:H13,2,FALSE)" into cell A67.</t>
        </is>
      </c>
      <c r="C151" s="3" t="inlineStr">
        <is>
          <t xml:space="preserve">OK</t>
        </is>
      </c>
    </row>
    <row r="152">
      <c r="B152" s="1" t="inlineStr">
        <is>
          <t xml:space="preserve">Put formula "=HLOOKUP(3.5,Table!A12:H13,2)" into cell A68.</t>
        </is>
      </c>
      <c r="C152" s="3" t="inlineStr">
        <is>
          <t xml:space="preserve">OK</t>
        </is>
      </c>
    </row>
    <row r="153">
      <c r="B153" s="1" t="inlineStr">
        <is>
          <t xml:space="preserve">Put formula "=HLOOKUP(3,Table!A12:H13,3,FALSE)" into cell A69.</t>
        </is>
      </c>
      <c r="C153" s="3" t="inlineStr">
        <is>
          <t xml:space="preserve">OK</t>
        </is>
      </c>
    </row>
    <row r="154">
      <c r="B154" s="1" t="inlineStr">
        <is>
          <t xml:space="preserve">Put formula "=HLOOKUP(0,Table!A12:H13,2)" into cell A70.</t>
        </is>
      </c>
      <c r="C154" s="3" t="inlineStr">
        <is>
          <t xml:space="preserve">OK</t>
        </is>
      </c>
    </row>
    <row r="155">
      <c r="B155" s="1" t="inlineStr">
        <is>
          <t xml:space="preserve">Put formula "=LOOKUP(35,Table!A1:A8,Table!B1:B8)" into cell A71.</t>
        </is>
      </c>
      <c r="C155" s="3" t="inlineStr">
        <is>
          <t xml:space="preserve">OK</t>
        </is>
      </c>
    </row>
    <row r="156">
      <c r="B156" s="1" t="inlineStr">
        <is>
          <t xml:space="preserve">Put formula "=LOOKUP(35,Table!A1:B8)" into cell A72.</t>
        </is>
      </c>
      <c r="C156" s="3" t="inlineStr">
        <is>
          <t xml:space="preserve">OK</t>
        </is>
      </c>
    </row>
    <row r="157">
      <c r="B157" s="1" t="inlineStr">
        <is>
          <t xml:space="preserve">Put formula "=LOOKUP(5,Table!A1:A8,Table!B1:B8)" into cell A73.</t>
        </is>
      </c>
      <c r="C157" s="3" t="inlineStr">
        <is>
          <t xml:space="preserve">OK</t>
        </is>
      </c>
    </row>
    <row r="158">
      <c r="B158" s="1" t="inlineStr">
        <is>
          <t xml:space="preserve">Put formula "=LOOKUP(3.5,Table!A12:H13)" into cell A74.</t>
        </is>
      </c>
      <c r="C158" s="3" t="inlineStr">
        <is>
          <t xml:space="preserve">OK</t>
        </is>
      </c>
    </row>
    <row r="159">
      <c r="B159" s="1" t="inlineStr">
        <is>
          <t xml:space="preserve">Put formula "=LOOKUP(9.99E+307,Table!A1:A8)" into cell A75.</t>
        </is>
      </c>
      <c r="C159" s="3" t="inlineStr">
        <is>
          <t xml:space="preserve">OK</t>
        </is>
      </c>
    </row>
    <row r="160">
      <c r="B160" s="1" t="inlineStr">
        <is>
          <t xml:space="preserve">Put formula "=LOOKUP(""zzzz"",Table!D1:D8)" into cell A76.</t>
        </is>
      </c>
      <c r="C160" s="3" t="inlineStr">
        <is>
          <t xml:space="preserve">OK</t>
        </is>
      </c>
    </row>
    <row r="161">
      <c r="B161" s="1" t="inlineStr">
        <is>
          <t xml:space="preserve">Put formula "=LOOKUP(35,Table!A1:A8,Table!A13:H13)" into cell A77.</t>
        </is>
      </c>
      <c r="C161" s="3" t="inlineStr">
        <is>
          <t xml:space="preserve">OK</t>
        </is>
      </c>
    </row>
    <row r="162">
      <c r="B162" s="1" t="inlineStr">
        <is>
          <t xml:space="preserve">Put formula "=LOOKUP(99,Table!A1:A8,Table!B1:B4)" into cell A78.</t>
        </is>
      </c>
      <c r="C162" s="3" t="inlineStr">
        <is>
          <t xml:space="preserve">OK</t>
        </is>
      </c>
    </row>
    <row r="163">
      <c r="B163" s="1" t="inlineStr">
        <is>
          <t xml:space="preserve">Put formula "=LOOKUP(9.99E+307,Table!G1:G9)" into cell A79.</t>
        </is>
      </c>
      <c r="C163" s="3" t="inlineStr">
        <is>
          <t xml:space="preserve">OK</t>
        </is>
      </c>
    </row>
    <row r="164">
      <c r="B164" s="1" t="inlineStr">
        <is>
          <t xml:space="preserve">Put formula "=LOOKUP(45,Table!F1:F8,Table!B1:B8)" into cell A80.</t>
        </is>
      </c>
      <c r="C164" s="3" t="inlineStr">
        <is>
          <t xml:space="preserve">OK</t>
        </is>
      </c>
    </row>
    <row r="165">
      <c r="B165" s="1" t="inlineStr">
        <is>
          <t xml:space="preserve">Put formula "=XLOOKUP(30,Table!A1:A8,Table!B1:B8)" into cell A81.</t>
        </is>
      </c>
      <c r="C165" s="3" t="inlineStr">
        <is>
          <t xml:space="preserve">OK</t>
        </is>
      </c>
    </row>
    <row r="166">
      <c r="B166" s="1" t="inlineStr">
        <is>
          <t xml:space="preserve">Put formula "=XLOOKUP(31,Table!A1:A8,Table!B1:B8,""none"")" into cell A82.</t>
        </is>
      </c>
      <c r="C166" s="3" t="inlineStr">
        <is>
          <t xml:space="preserve">OK</t>
        </is>
      </c>
    </row>
    <row r="167">
      <c r="B167" s="1" t="inlineStr">
        <is>
          <t xml:space="preserve">Put formula "=XLOOKUP(31,Table!A1:A8,Table!B1:B8)" into cell A83.</t>
        </is>
      </c>
      <c r="C167" s="3" t="inlineStr">
        <is>
          <t xml:space="preserve">OK</t>
        </is>
      </c>
    </row>
    <row r="168">
      <c r="B168" s="1" t="inlineStr">
        <is>
          <t xml:space="preserve">Put formula "=XLOOKUP(35,Table!A1:A8,Table!B1:B8,,1)" into cell A84.</t>
        </is>
      </c>
      <c r="C168" s="3" t="inlineStr">
        <is>
          <t xml:space="preserve">OK</t>
        </is>
      </c>
    </row>
    <row r="169">
      <c r="B169" s="1" t="inlineStr">
        <is>
          <t xml:space="preserve">Put formula "=XLOOKUP(35,Table!A1:A8,Table!B1:B8,,-1,2)" into cell A85.</t>
        </is>
      </c>
      <c r="C169" s="3" t="inlineStr">
        <is>
          <t xml:space="preserve">OK</t>
        </is>
      </c>
    </row>
    <row r="170">
      <c r="B170" s="1" t="inlineStr">
        <is>
          <t xml:space="preserve">Put formula "=XLOOKUP(30,Table!A1:A8,Table!B1:B7)" into cell A86.</t>
        </is>
      </c>
      <c r="C170" s="3" t="inlineStr">
        <is>
          <t xml:space="preserve">OK</t>
        </is>
      </c>
    </row>
    <row r="171">
      <c r="B171" s="1" t="inlineStr">
        <is>
          <t xml:space="preserve">Put formula "=XLOOKUP(3,Table!A12:H12,Table!A13:H13)" into cell A87.</t>
        </is>
      </c>
      <c r="C171" s="3" t="inlineStr">
        <is>
          <t xml:space="preserve">OK</t>
        </is>
      </c>
    </row>
    <row r="172">
      <c r="B172" s="1" t="inlineStr">
        <is>
          <t xml:space="preserve">Put formula "=XLOOKUP(5,Table!E1:E10,Table!A1:A10,,0,-1)" into cell A88.</t>
        </is>
      </c>
      <c r="C172" s="3" t="inlineStr">
        <is>
          <t xml:space="preserve">OK</t>
        </is>
      </c>
    </row>
    <row r="173">
      <c r="B173" s="1" t="inlineStr">
        <is>
          <t xml:space="preserve">Put formula "=XLOOKUP(""b?nana"",Table!D1:D8,Table!A1:A8,,2)" into cell A89.</t>
        </is>
      </c>
      <c r="C173" s="3" t="inlineStr">
        <is>
          <t xml:space="preserve">OK</t>
        </is>
      </c>
    </row>
    <row r="174">
      <c r="B174" s="1" t="inlineStr">
        <is>
          <t xml:space="preserve">Put formula "=XLOOKUP(45,Table!F1:F8,Table!A1:A8,,1)" into cell A90.</t>
        </is>
      </c>
      <c r="C174" s="3" t="inlineStr">
        <is>
          <t xml:space="preserve">OK</t>
        </is>
      </c>
    </row>
    <row r="175">
      <c r="B175" s="1" t="inlineStr">
        <is>
          <t xml:space="preserve">Put formula "=XLOOKUP(31,Table!A1:A8,Table!B1:B8,1/0)" into cell A91.</t>
        </is>
      </c>
      <c r="C175" s="3" t="inlineStr">
        <is>
          <t xml:space="preserve">OK</t>
        </is>
      </c>
    </row>
    <row r="176">
      <c r="B176" s="1" t="inlineStr">
        <is>
          <t xml:space="preserve">Put formula "=INDEX(Table!A1:B8,3,2)" into cell A92.</t>
        </is>
      </c>
      <c r="C176" s="3" t="inlineStr">
        <is>
          <t xml:space="preserve">OK</t>
        </is>
      </c>
    </row>
    <row r="177">
      <c r="B177" s="1" t="inlineStr">
        <is>
          <t xml:space="preserve">Put formula "=INDEX(Table!A1:A8,4)" into cell A93.</t>
        </is>
      </c>
      <c r="C177" s="3" t="inlineStr">
        <is>
          <t xml:space="preserve">OK</t>
        </is>
      </c>
    </row>
    <row r="178">
      <c r="B178" s="1" t="inlineStr">
        <is>
          <t xml:space="preserve">Put formula "=INDEX(Table!A12:H12,3)" into cell A94.</t>
        </is>
      </c>
      <c r="C178" s="3" t="inlineStr">
        <is>
          <t xml:space="preserve">OK</t>
        </is>
      </c>
    </row>
    <row r="179">
      <c r="B179" s="1" t="inlineStr">
        <is>
          <t xml:space="preserve">Put formula "=INDEX(Table!A1:B8,9,1)" into cell A95.</t>
        </is>
      </c>
      <c r="C179" s="3" t="inlineStr">
        <is>
          <t xml:space="preserve">OK</t>
        </is>
      </c>
    </row>
    <row r="180">
      <c r="B180" s="1" t="inlineStr">
        <is>
          <t xml:space="preserve">Put formula "=INDEX(Table!A1:B8,1,3)" into cell A96.</t>
        </is>
      </c>
      <c r="C180" s="3" t="inlineStr">
        <is>
          <t xml:space="preserve">OK</t>
        </is>
      </c>
    </row>
    <row r="181">
      <c r="B181" s="1" t="inlineStr">
        <is>
          <t xml:space="preserve">Put formula "=INDEX(Table!A1:B8,-1,1)" into cell A97.</t>
        </is>
      </c>
      <c r="C181" s="3" t="inlineStr">
        <is>
          <t xml:space="preserve">OK</t>
        </is>
      </c>
    </row>
    <row r="182">
      <c r="B182" s="1" t="inlineStr">
        <is>
          <t xml:space="preserve">Put formula "=INDEX(Table!A1:B8,2.9,1.2)" into cell A98.</t>
        </is>
      </c>
      <c r="C182" s="3" t="inlineStr">
        <is>
          <t xml:space="preserve">OK</t>
        </is>
      </c>
    </row>
    <row r="183">
      <c r="B183" s="1" t="inlineStr">
        <is>
          <t xml:space="preserve">Put formula "=SUM(INDEX(Table!A1:C8,0,1))" into cell A99.</t>
        </is>
      </c>
      <c r="C183" s="3" t="inlineStr">
        <is>
          <t xml:space="preserve">OK</t>
        </is>
      </c>
    </row>
    <row r="184">
      <c r="B184" s="1" t="inlineStr">
        <is>
          <t xml:space="preserve">Put formula "=SUM(INDEX(Table!A1:C8,2,0))" into cell A100.</t>
        </is>
      </c>
      <c r="C184" s="3" t="inlineStr">
        <is>
          <t xml:space="preserve">OK</t>
        </is>
      </c>
    </row>
    <row r="185">
      <c r="B185" s="1" t="inlineStr">
        <is>
          <t xml:space="preserve">Put formula "=INDEX(Table!A1:A8,MATCH(40,Table!A1:A8,0))" into cell A101.</t>
        </is>
      </c>
      <c r="C185" s="3" t="inlineStr">
        <is>
          <t xml:space="preserve">OK</t>
        </is>
      </c>
    </row>
    <row r="186">
      <c r="B186" s="1" t="inlineStr">
        <is>
          <t xml:space="preserve">Put formula "=INDEX(5,1)" into cell A102.</t>
        </is>
      </c>
      <c r="C186" s="3" t="inlineStr">
        <is>
          <t xml:space="preserve">OK</t>
        </is>
      </c>
    </row>
    <row r="187">
      <c r="B187" s="1" t="inlineStr">
        <is>
          <t xml:space="preserve">Put formula "=INDEX(Table!A1:B8,1,1,1)" into cell A103.</t>
        </is>
      </c>
      <c r="C187" s="3" t="inlineStr">
        <is>
          <t xml:space="preserve">OK</t>
        </is>
      </c>
    </row>
    <row r="188">
      <c r="B188" s="1" t="inlineStr">
        <is>
          <t xml:space="preserve">Put formula "=INDEX(Table!A1:B8,1,1,2)" into cell A104.</t>
        </is>
      </c>
      <c r="C188" s="3" t="inlineStr">
        <is>
          <t xml:space="preserve">OK</t>
        </is>
      </c>
    </row>
    <row r="189">
      <c r="B189" s="1" t="inlineStr">
        <is>
          <t xml:space="preserve">Put formula "=INDEX(Table!A1:B8,""x"")" into cell A105.</t>
        </is>
      </c>
      <c r="C189" s="3" t="inlineStr">
        <is>
          <t xml:space="preserve">OK</t>
        </is>
      </c>
    </row>
    <row r="190">
      <c r="B190" s="1" t="inlineStr">
        <is>
          <t xml:space="preserve">Put formula "=INDEX(Table!A1:B8,2,0)" into cell A106.</t>
        </is>
      </c>
      <c r="C190" s="3" t="inlineStr">
        <is>
          <t xml:space="preserve">OK</t>
        </is>
      </c>
    </row>
    <row r="191">
      <c r="B191" s="1" t="inlineStr">
        <is>
          <t xml:space="preserve">Put formula "=INDEX(Table!A1:A8,0)" into cell A107.</t>
        </is>
      </c>
      <c r="C191" s="3" t="inlineStr">
        <is>
          <t xml:space="preserve">OK</t>
        </is>
      </c>
    </row>
    <row r="192">
      <c r="B192" s="1" t="inlineStr">
        <is>
          <t xml:space="preserve">Put formula "=IFERROR(VLOOKUP(31,Table!A1:B8,2,FALSE),0)" into cell A108.</t>
        </is>
      </c>
      <c r="C192" s="3" t="inlineStr">
        <is>
          <t xml:space="preserve">OK</t>
        </is>
      </c>
    </row>
    <row r="193">
      <c r="B193" s="1" t="inlineStr">
        <is>
          <t xml:space="preserve">Put formula "=IFERROR(VLOOKUP(30,Table!A1:B8,2,FALSE),0)" into cell A109.</t>
        </is>
      </c>
      <c r="C193" s="3" t="inlineStr">
        <is>
          <t xml:space="preserve">OK</t>
        </is>
      </c>
    </row>
    <row r="194">
      <c r="B194" s="1" t="inlineStr">
        <is>
          <t xml:space="preserve">Put formula "=IFNA(1/0,2)" into cell A110.</t>
        </is>
      </c>
      <c r="C194" s="3" t="inlineStr">
        <is>
          <t xml:space="preserve">OK</t>
        </is>
      </c>
    </row>
    <row r="195">
      <c r="B195" s="1" t="inlineStr">
        <is>
          <t xml:space="preserve">Put formula "=IFERROR(1/0,2)" into cell A111.</t>
        </is>
      </c>
      <c r="C195" s="3" t="inlineStr">
        <is>
          <t xml:space="preserve">OK</t>
        </is>
      </c>
    </row>
    <row r="196">
      <c r="B196" s="1" t="inlineStr">
        <is>
          <t xml:space="preserve">Put formula "=IFNA(MATCH(31,Table!A1:A8,0),-1)" into cell A112.</t>
        </is>
      </c>
      <c r="C196" s="3" t="inlineStr">
        <is>
          <t xml:space="preserve">OK</t>
        </is>
      </c>
    </row>
    <row r="197">
      <c r="B197" s="1" t="inlineStr">
        <is>
          <t xml:space="preserve">Put formula "=ISNA(MATCH(31,Table!A1:A8,0))" into cell A113.</t>
        </is>
      </c>
      <c r="C197" s="3" t="inlineStr">
        <is>
          <t xml:space="preserve">OK</t>
        </is>
      </c>
    </row>
    <row r="198">
      <c r="B198" s="1" t="inlineStr">
        <is>
          <t xml:space="preserve">Put formula "=ISERROR(Table!A1)" into cell A114.</t>
        </is>
      </c>
      <c r="C198" s="3" t="inlineStr">
        <is>
          <t xml:space="preserve">OK</t>
        </is>
      </c>
    </row>
    <row r="199">
      <c r="B199" s="1" t="inlineStr">
        <is>
          <t xml:space="preserve">Put formula "=ISERROR(Table!E5)" into cell A115.</t>
        </is>
      </c>
      <c r="C199" s="3" t="inlineStr">
        <is>
          <t xml:space="preserve">OK</t>
        </is>
      </c>
    </row>
    <row r="200">
      <c r="B200" s="1" t="inlineStr">
        <is>
          <t xml:space="preserve">Put formula "=ISNA(1/0)" into cell A116.</t>
        </is>
      </c>
      <c r="C200" s="3" t="inlineStr">
        <is>
          <t xml:space="preserve">OK</t>
        </is>
      </c>
    </row>
    <row r="201">
      <c r="B201" s="1" t="inlineStr">
        <is>
          <t xml:space="preserve">Put formula "=ISERROR(Table!E4)" into cell A117.</t>
        </is>
      </c>
      <c r="C201" s="3" t="inlineStr">
        <is>
          <t xml:space="preserve">OK</t>
        </is>
      </c>
    </row>
    <row r="202">
      <c r="B202" s="1" t="inlineStr">
        <is>
          <t xml:space="preserve">Put formula "=IF(ISNA(MATCH(31,Table!A1:A8,0)),""missing"",MATCH(31,Table!A1:A8,0))" into cell A118.</t>
        </is>
      </c>
      <c r="C202" s="3" t="inlineStr">
        <is>
          <t xml:space="preserve">OK</t>
        </is>
      </c>
    </row>
    <row r="203">
      <c r="B203" s="1" t="inlineStr">
        <is>
          <t xml:space="preserve">Put formula "=IFERROR(1/0,)" into cell A119.</t>
        </is>
      </c>
      <c r="C203" s="3" t="inlineStr">
        <is>
          <t xml:space="preserve">OK</t>
        </is>
      </c>
    </row>
    <row r="204">
      <c r="B204" s="1" t="inlineStr">
        <is>
          <t xml:space="preserve">Put formula "=IFNA(Table!A1,1)" into cell A120.</t>
        </is>
      </c>
      <c r="C204" s="3" t="inlineStr">
        <is>
          <t xml:space="preserve">OK</t>
        </is>
      </c>
    </row>
    <row r="206">
      <c r="B206" s="1" t="inlineStr">
        <is>
          <t xml:space="preserve">Work on sheet Criteria.</t>
        </is>
      </c>
      <c r="C206" s="3" t="inlineStr">
        <is>
          <t xml:space="preserve">OK</t>
        </is>
      </c>
    </row>
    <row r="207">
      <c r="B207" s="1" t="inlineStr">
        <is>
          <t xml:space="preserve">Put 10 into cell A1.</t>
        </is>
      </c>
      <c r="C207" s="3" t="inlineStr">
        <is>
          <t xml:space="preserve">OK</t>
        </is>
      </c>
    </row>
    <row r="208">
      <c r="B208" s="1" t="inlineStr">
        <is>
          <t xml:space="preserve">Put 20 into cell A2.</t>
        </is>
      </c>
      <c r="C208" s="3" t="inlineStr">
        <is>
          <t xml:space="preserve">OK</t>
        </is>
      </c>
    </row>
    <row r="209">
      <c r="B209" s="1" t="inlineStr">
        <is>
          <t xml:space="preserve">Put 30 into cell A3.</t>
        </is>
      </c>
      <c r="C209" s="3" t="inlineStr">
        <is>
          <t xml:space="preserve">OK</t>
        </is>
      </c>
    </row>
    <row r="210">
      <c r="B210" s="1" t="inlineStr">
        <is>
          <t xml:space="preserve">Put 20 into cell A4.</t>
        </is>
      </c>
      <c r="C210" s="3" t="inlineStr">
        <is>
          <t xml:space="preserve">OK</t>
        </is>
      </c>
    </row>
    <row r="211">
      <c r="B211" s="1" t="inlineStr">
        <is>
          <t xml:space="preserve">Put "20" into cell A5.</t>
        </is>
      </c>
      <c r="C211" s="3" t="inlineStr">
        <is>
          <t xml:space="preserve">OK</t>
        </is>
      </c>
    </row>
    <row r="212">
      <c r="B212" s="1" t="inlineStr">
        <is>
          <t xml:space="preserve">Put "x" into cell A6.</t>
        </is>
      </c>
      <c r="C212" s="3" t="inlineStr">
        <is>
          <t xml:space="preserve">OK</t>
        </is>
      </c>
    </row>
    <row r="213">
      <c r="B213" s="1" t="inlineStr">
        <is>
          <t xml:space="preserve">Put "X" into cell A7.</t>
        </is>
      </c>
      <c r="C213" s="3" t="inlineStr">
        <is>
          <t xml:space="preserve">OK</t>
        </is>
      </c>
    </row>
    <row r="214">
      <c r="B214" s="1" t="inlineStr">
        <is>
          <t xml:space="preserve">Put formula "=TRUE" into cell A8.</t>
        </is>
      </c>
      <c r="C214" s="3" t="inlineStr">
        <is>
          <t xml:space="preserve">OK</t>
        </is>
      </c>
    </row>
    <row r="215">
      <c r="B215" s="1" t="inlineStr">
        <is>
          <t xml:space="preserve">Put 0 into cell A10.</t>
        </is>
      </c>
      <c r="C215" s="3" t="inlineStr">
        <is>
          <t xml:space="preserve">OK</t>
        </is>
      </c>
    </row>
    <row r="216">
      <c r="B216" s="1" t="inlineStr">
        <is>
          <t xml:space="preserve">Put 0 into cell A11.</t>
        </is>
      </c>
      <c r="C216" s="3" t="inlineStr">
        <is>
          <t xml:space="preserve">OK</t>
        </is>
      </c>
    </row>
    <row r="217">
      <c r="B217" s="1" t="inlineStr">
        <is>
          <t xml:space="preserve">Put 5 into cell A12.</t>
        </is>
      </c>
      <c r="C217" s="3" t="inlineStr">
        <is>
          <t xml:space="preserve">OK</t>
        </is>
      </c>
    </row>
    <row r="218">
      <c r="B218" s="1" t="inlineStr">
        <is>
          <t xml:space="preserve">Put 1 into cell B1.</t>
        </is>
      </c>
      <c r="C218" s="3" t="inlineStr">
        <is>
          <t xml:space="preserve">OK</t>
        </is>
      </c>
    </row>
    <row r="219">
      <c r="B219" s="1" t="inlineStr">
        <is>
          <t xml:space="preserve">Put 2 into cell B2.</t>
        </is>
      </c>
      <c r="C219" s="3" t="inlineStr">
        <is>
          <t xml:space="preserve">OK</t>
        </is>
      </c>
    </row>
    <row r="220">
      <c r="B220" s="1" t="inlineStr">
        <is>
          <t xml:space="preserve">Put 3 into cell B3.</t>
        </is>
      </c>
      <c r="C220" s="3" t="inlineStr">
        <is>
          <t xml:space="preserve">OK</t>
        </is>
      </c>
    </row>
    <row r="221">
      <c r="B221" s="1" t="inlineStr">
        <is>
          <t xml:space="preserve">Put 4 into cell B4.</t>
        </is>
      </c>
      <c r="C221" s="3" t="inlineStr">
        <is>
          <t xml:space="preserve">OK</t>
        </is>
      </c>
    </row>
    <row r="222">
      <c r="B222" s="1" t="inlineStr">
        <is>
          <t xml:space="preserve">Put 5 into cell B5.</t>
        </is>
      </c>
      <c r="C222" s="3" t="inlineStr">
        <is>
          <t xml:space="preserve">OK</t>
        </is>
      </c>
    </row>
    <row r="223">
      <c r="B223" s="1" t="inlineStr">
        <is>
          <t xml:space="preserve">Put 6 into cell B6.</t>
        </is>
      </c>
      <c r="C223" s="3" t="inlineStr">
        <is>
          <t xml:space="preserve">OK</t>
        </is>
      </c>
    </row>
    <row r="224">
      <c r="B224" s="1" t="inlineStr">
        <is>
          <t xml:space="preserve">Put 7 into cell B7.</t>
        </is>
      </c>
      <c r="C224" s="3" t="inlineStr">
        <is>
          <t xml:space="preserve">OK</t>
        </is>
      </c>
    </row>
    <row r="225">
      <c r="B225" s="1" t="inlineStr">
        <is>
          <t xml:space="preserve">Put 8 into cell B8.</t>
        </is>
      </c>
      <c r="C225" s="3" t="inlineStr">
        <is>
          <t xml:space="preserve">OK</t>
        </is>
      </c>
    </row>
    <row r="226">
      <c r="B226" s="1" t="inlineStr">
        <is>
          <t xml:space="preserve">Put 9 into cell B9.</t>
        </is>
      </c>
      <c r="C226" s="3" t="inlineStr">
        <is>
          <t xml:space="preserve">OK</t>
        </is>
      </c>
    </row>
    <row r="227">
      <c r="B227" s="1" t="inlineStr">
        <is>
          <t xml:space="preserve">Put 10 into cell B10.</t>
        </is>
      </c>
      <c r="C227" s="3" t="inlineStr">
        <is>
          <t xml:space="preserve">OK</t>
        </is>
      </c>
    </row>
    <row r="228">
      <c r="B228" s="1" t="inlineStr">
        <is>
          <t xml:space="preserve">Put 11 into cell B11.</t>
        </is>
      </c>
      <c r="C228" s="3" t="inlineStr">
        <is>
          <t xml:space="preserve">OK</t>
        </is>
      </c>
    </row>
    <row r="229">
      <c r="B229" s="1" t="inlineStr">
        <is>
          <t xml:space="preserve">Put 12 into cell B12.</t>
        </is>
      </c>
      <c r="C229" s="3" t="inlineStr">
        <is>
          <t xml:space="preserve">OK</t>
        </is>
      </c>
    </row>
    <row r="230">
      <c r="B230" s="1" t="inlineStr">
        <is>
          <t xml:space="preserve">Put 1 into cell C1.</t>
        </is>
      </c>
      <c r="C230" s="3" t="inlineStr">
        <is>
          <t xml:space="preserve">OK</t>
        </is>
      </c>
    </row>
    <row r="231">
      <c r="B231" s="1" t="inlineStr">
        <is>
          <t xml:space="preserve">Put formula "=1/0" into cell C2.</t>
        </is>
      </c>
      <c r="C231" s="3" t="inlineStr">
        <is>
          <t xml:space="preserve">OK</t>
        </is>
      </c>
    </row>
    <row r="232">
      <c r="B232" s="1" t="inlineStr">
        <is>
          <t xml:space="preserve">Put 3 into cell C3.</t>
        </is>
      </c>
      <c r="C232" s="3" t="inlineStr">
        <is>
          <t xml:space="preserve">OK</t>
        </is>
      </c>
    </row>
    <row r="233">
      <c r="B233" s="1" t="inlineStr">
        <is>
          <t xml:space="preserve">Put 4 into cell C4.</t>
        </is>
      </c>
      <c r="C233" s="3" t="inlineStr">
        <is>
          <t xml:space="preserve">OK</t>
        </is>
      </c>
    </row>
    <row r="234">
      <c r="B234" s="1" t="inlineStr">
        <is>
          <t xml:space="preserve">Put "a" into cell D1.</t>
        </is>
      </c>
      <c r="C234" s="3" t="inlineStr">
        <is>
          <t xml:space="preserve">OK</t>
        </is>
      </c>
    </row>
    <row r="235">
      <c r="B235" s="1" t="inlineStr">
        <is>
          <t xml:space="preserve">Put "b" into cell D2.</t>
        </is>
      </c>
      <c r="C235" s="3" t="inlineStr">
        <is>
          <t xml:space="preserve">OK</t>
        </is>
      </c>
    </row>
    <row r="236">
      <c r="B236" s="1" t="inlineStr">
        <is>
          <t xml:space="preserve">Put "a" into cell D3.</t>
        </is>
      </c>
      <c r="C236" s="3" t="inlineStr">
        <is>
          <t xml:space="preserve">OK</t>
        </is>
      </c>
    </row>
    <row r="237">
      <c r="B237" s="1" t="inlineStr">
        <is>
          <t xml:space="preserve">Put "b" into cell D4.</t>
        </is>
      </c>
      <c r="C237" s="3" t="inlineStr">
        <is>
          <t xml:space="preserve">OK</t>
        </is>
      </c>
    </row>
    <row r="238">
      <c r="B238" s="1" t="inlineStr">
        <is>
          <t xml:space="preserve">Put formula "=0.1+0.2" into cell E1.</t>
        </is>
      </c>
      <c r="C238" s="3" t="inlineStr">
        <is>
          <t xml:space="preserve">OK</t>
        </is>
      </c>
    </row>
    <row r="239">
      <c r="B239" s="1" t="inlineStr">
        <is>
          <t xml:space="preserve">Put "É" into cell F1.</t>
        </is>
      </c>
      <c r="C239" s="3" t="inlineStr">
        <is>
          <t xml:space="preserve">OK</t>
        </is>
      </c>
    </row>
    <row r="240">
      <c r="B240" s="1" t="inlineStr">
        <is>
          <t xml:space="preserve">Put "é" into cell F2.</t>
        </is>
      </c>
      <c r="C240" s="3" t="inlineStr">
        <is>
          <t xml:space="preserve">OK</t>
        </is>
      </c>
    </row>
    <row r="241">
      <c r="B241" s="1" t="inlineStr">
        <is>
          <t xml:space="preserve">Put "e" into cell F3.</t>
        </is>
      </c>
      <c r="C241" s="3" t="inlineStr">
        <is>
          <t xml:space="preserve">OK</t>
        </is>
      </c>
    </row>
    <row r="242">
      <c r="B242" s="1" t="inlineStr">
        <is>
          <t xml:space="preserve">Put formula "=COUNTIF(A1:A12,20)" into cell H1.</t>
        </is>
      </c>
      <c r="C242" s="3" t="inlineStr">
        <is>
          <t xml:space="preserve">OK</t>
        </is>
      </c>
    </row>
    <row r="243">
      <c r="B243" s="1" t="inlineStr">
        <is>
          <t xml:space="preserve">Put formula "=COUNTIF(A1:A12,""20"")" into cell H2.</t>
        </is>
      </c>
      <c r="C243" s="3" t="inlineStr">
        <is>
          <t xml:space="preserve">OK</t>
        </is>
      </c>
    </row>
    <row r="244">
      <c r="B244" s="1" t="inlineStr">
        <is>
          <t xml:space="preserve">Put formula "=COUNTIF(A1:A12,""=20"")" into cell H3.</t>
        </is>
      </c>
      <c r="C244" s="3" t="inlineStr">
        <is>
          <t xml:space="preserve">OK</t>
        </is>
      </c>
    </row>
    <row r="245">
      <c r="B245" s="1" t="inlineStr">
        <is>
          <t xml:space="preserve">Put formula "=COUNTIF(A1:A12,""&lt;&gt;20"")" into cell H4.</t>
        </is>
      </c>
      <c r="C245" s="3" t="inlineStr">
        <is>
          <t xml:space="preserve">OK</t>
        </is>
      </c>
    </row>
    <row r="246">
      <c r="B246" s="1" t="inlineStr">
        <is>
          <t xml:space="preserve">Put formula "=COUNTIF(A1:A12,""&gt;15"")" into cell H5.</t>
        </is>
      </c>
      <c r="C246" s="3" t="inlineStr">
        <is>
          <t xml:space="preserve">OK</t>
        </is>
      </c>
    </row>
    <row r="247">
      <c r="B247" s="1" t="inlineStr">
        <is>
          <t xml:space="preserve">Put formula "=COUNTIF(A1:A12,""x"")" into cell H6.</t>
        </is>
      </c>
      <c r="C247" s="3" t="inlineStr">
        <is>
          <t xml:space="preserve">OK</t>
        </is>
      </c>
    </row>
    <row r="248">
      <c r="B248" s="1" t="inlineStr">
        <is>
          <t xml:space="preserve">Put formula "=COUNTIF(A1:A12,""x*"")" into cell H7.</t>
        </is>
      </c>
      <c r="C248" s="3" t="inlineStr">
        <is>
          <t xml:space="preserve">OK</t>
        </is>
      </c>
    </row>
    <row r="249">
      <c r="B249" s="1" t="inlineStr">
        <is>
          <t xml:space="preserve">Put formula "=COUNTIF(A1:A12,""?"")" into cell H8.</t>
        </is>
      </c>
      <c r="C249" s="3" t="inlineStr">
        <is>
          <t xml:space="preserve">OK</t>
        </is>
      </c>
    </row>
    <row r="250">
      <c r="B250" s="1" t="inlineStr">
        <is>
          <t xml:space="preserve">Put formula "=COUNTIF(A1:A12,""*"")" into cell H9.</t>
        </is>
      </c>
      <c r="C250" s="3" t="inlineStr">
        <is>
          <t xml:space="preserve">OK</t>
        </is>
      </c>
    </row>
    <row r="251">
      <c r="B251" s="1" t="inlineStr">
        <is>
          <t xml:space="preserve">Put formula "=COUNTIF(A1:A12,"""")" into cell H10.</t>
        </is>
      </c>
      <c r="C251" s="3" t="inlineStr">
        <is>
          <t xml:space="preserve">OK</t>
        </is>
      </c>
    </row>
    <row r="252">
      <c r="B252" s="1" t="inlineStr">
        <is>
          <t xml:space="preserve">Put formula "=COUNTIF(A1:A12,""&lt;&gt;"")" into cell H11.</t>
        </is>
      </c>
      <c r="C252" s="3" t="inlineStr">
        <is>
          <t xml:space="preserve">OK</t>
        </is>
      </c>
    </row>
    <row r="253">
      <c r="B253" s="1" t="inlineStr">
        <is>
          <t xml:space="preserve">Put formula "=COUNTIF(A1:A12,TRUE)" into cell H12.</t>
        </is>
      </c>
      <c r="C253" s="3" t="inlineStr">
        <is>
          <t xml:space="preserve">OK</t>
        </is>
      </c>
    </row>
    <row r="254">
      <c r="B254" s="1" t="inlineStr">
        <is>
          <t xml:space="preserve">Put formula "=COUNTIF(A1:A12,""TRUE"")" into cell H13.</t>
        </is>
      </c>
      <c r="C254" s="3" t="inlineStr">
        <is>
          <t xml:space="preserve">OK</t>
        </is>
      </c>
    </row>
    <row r="255">
      <c r="B255" s="1" t="inlineStr">
        <is>
          <t xml:space="preserve">Put formula "=COUNTIF(A1:A12,0)" into cell H14.</t>
        </is>
      </c>
      <c r="C255" s="3" t="inlineStr">
        <is>
          <t xml:space="preserve">OK</t>
        </is>
      </c>
    </row>
    <row r="256">
      <c r="B256" s="1" t="inlineStr">
        <is>
          <t xml:space="preserve">Put formula "=COUNTIF(A1:A12,A4)" into cell H15.</t>
        </is>
      </c>
      <c r="C256" s="3" t="inlineStr">
        <is>
          <t xml:space="preserve">OK</t>
        </is>
      </c>
    </row>
    <row r="257">
      <c r="B257" s="1" t="inlineStr">
        <is>
          <t xml:space="preserve">Put formula "=COUNTIF(A1:A12,A9)" into cell H16.</t>
        </is>
      </c>
      <c r="C257" s="3" t="inlineStr">
        <is>
          <t xml:space="preserve">OK</t>
        </is>
      </c>
    </row>
    <row r="258">
      <c r="B258" s="1" t="inlineStr">
        <is>
          <t xml:space="preserve">Put formula "=SUMIF(A1:A12,20,B1:B12)" into cell H17.</t>
        </is>
      </c>
      <c r="C258" s="3" t="inlineStr">
        <is>
          <t xml:space="preserve">OK</t>
        </is>
      </c>
    </row>
    <row r="259">
      <c r="B259" s="1" t="inlineStr">
        <is>
          <t xml:space="preserve">Put formula "=SUMIF(A1:A12,""&gt;15"",B1:B12)" into cell H18.</t>
        </is>
      </c>
      <c r="C259" s="3" t="inlineStr">
        <is>
          <t xml:space="preserve">OK</t>
        </is>
      </c>
    </row>
    <row r="260">
      <c r="B260" s="1" t="inlineStr">
        <is>
          <t xml:space="preserve">Put formula "=SUMIF(A1:A12,""x*"",B1:B12)" into cell H19.</t>
        </is>
      </c>
      <c r="C260" s="3" t="inlineStr">
        <is>
          <t xml:space="preserve">OK</t>
        </is>
      </c>
    </row>
    <row r="261">
      <c r="B261" s="1" t="inlineStr">
        <is>
          <t xml:space="preserve">Put formula "=SUMIF(A1:A12,""&lt;&gt;20"",B1:B12)" into cell H20.</t>
        </is>
      </c>
      <c r="C261" s="3" t="inlineStr">
        <is>
          <t xml:space="preserve">OK</t>
        </is>
      </c>
    </row>
    <row r="262">
      <c r="B262" s="1" t="inlineStr">
        <is>
          <t xml:space="preserve">Put formula "=SUMIF(A1:A12,"""",B1:B12)" into cell H21.</t>
        </is>
      </c>
      <c r="C262" s="3" t="inlineStr">
        <is>
          <t xml:space="preserve">OK</t>
        </is>
      </c>
    </row>
    <row r="263">
      <c r="B263" s="1" t="inlineStr">
        <is>
          <t xml:space="preserve">Put formula "=SUMIF(A1:A12,20)" into cell H22.</t>
        </is>
      </c>
      <c r="C263" s="3" t="inlineStr">
        <is>
          <t xml:space="preserve">OK</t>
        </is>
      </c>
    </row>
    <row r="264">
      <c r="B264" s="1" t="inlineStr">
        <is>
          <t xml:space="preserve">Put formula "=SUMIF(D1:D4,""a"",C1:C4)" into cell H23.</t>
        </is>
      </c>
      <c r="C264" s="3" t="inlineStr">
        <is>
          <t xml:space="preserve">OK</t>
        </is>
      </c>
    </row>
    <row r="265">
      <c r="B265" s="1" t="inlineStr">
        <is>
          <t xml:space="preserve">Put formula "=SUMIF(D1:D4,""b"",C1:C4)" into cell H24.</t>
        </is>
      </c>
      <c r="C265" s="3" t="inlineStr">
        <is>
          <t xml:space="preserve">OK</t>
        </is>
      </c>
    </row>
    <row r="266">
      <c r="B266" s="1" t="inlineStr">
        <is>
          <t xml:space="preserve">Put formula "=COUNTIF(C1:C4,1)" into cell H25.</t>
        </is>
      </c>
      <c r="C266" s="3" t="inlineStr">
        <is>
          <t xml:space="preserve">OK</t>
        </is>
      </c>
    </row>
    <row r="267">
      <c r="B267" s="1" t="inlineStr">
        <is>
          <t xml:space="preserve">Put formula "=COUNTIF(C1:C4,""#DIV/0!"")" into cell H26.</t>
        </is>
      </c>
      <c r="C267" s="3" t="inlineStr">
        <is>
          <t xml:space="preserve">OK</t>
        </is>
      </c>
    </row>
    <row r="268">
      <c r="B268" s="1" t="inlineStr">
        <is>
          <t xml:space="preserve">Put formula "=SUMIF(A1:A12,20,B1)" into cell H27.</t>
        </is>
      </c>
      <c r="C268" s="3" t="inlineStr">
        <is>
          <t xml:space="preserve">OK</t>
        </is>
      </c>
    </row>
    <row r="269">
      <c r="B269" s="1" t="inlineStr">
        <is>
          <t xml:space="preserve">Put formula "=SUMIF(A1:A3,""&gt;15"",B1:B12)" into cell H28.</t>
        </is>
      </c>
      <c r="C269" s="3" t="inlineStr">
        <is>
          <t xml:space="preserve">OK</t>
        </is>
      </c>
    </row>
    <row r="270">
      <c r="B270" s="1" t="inlineStr">
        <is>
          <t xml:space="preserve">Put formula "=F1=F2" into cell H29.</t>
        </is>
      </c>
      <c r="C270" s="3" t="inlineStr">
        <is>
          <t xml:space="preserve">OK</t>
        </is>
      </c>
    </row>
    <row r="271">
      <c r="B271" s="1" t="inlineStr">
        <is>
          <t xml:space="preserve">Put formula "=0.1+0.2=0.3" into cell H30.</t>
        </is>
      </c>
      <c r="C271" s="3" t="inlineStr">
        <is>
          <t xml:space="preserve">OK</t>
        </is>
      </c>
    </row>
    <row r="272">
      <c r="B272" s="1" t="inlineStr">
        <is>
          <t xml:space="preserve">Put formula "=MATCH(0.3,E1,0)" into cell H31.</t>
        </is>
      </c>
      <c r="C272" s="3" t="inlineStr">
        <is>
          <t xml:space="preserve">OK</t>
        </is>
      </c>
    </row>
    <row r="273">
      <c r="B273" s="1" t="inlineStr">
        <is>
          <t xml:space="preserve">Put formula "=COUNTIF(E1,0.3)" into cell H32.</t>
        </is>
      </c>
      <c r="C273" s="3" t="inlineStr">
        <is>
          <t xml:space="preserve">OK</t>
        </is>
      </c>
    </row>
    <row r="274">
      <c r="B274" s="1" t="inlineStr">
        <is>
          <t xml:space="preserve">Put formula "=VLOOKUP(0.3,E1,1,FALSE)" into cell H33.</t>
        </is>
      </c>
      <c r="C274" s="3" t="inlineStr">
        <is>
          <t xml:space="preserve">OK</t>
        </is>
      </c>
    </row>
    <row r="275">
      <c r="B275" s="1" t="inlineStr">
        <is>
          <t xml:space="preserve">Put formula "=COUNTIF(F1:F3,F2)" into cell H34.</t>
        </is>
      </c>
      <c r="C275" s="3" t="inlineStr">
        <is>
          <t xml:space="preserve">OK</t>
        </is>
      </c>
    </row>
    <row r="276">
      <c r="B276" s="1" t="inlineStr">
        <is>
          <t xml:space="preserve">Put formula "=MATCH(F2,F1:F3,0)" into cell H35.</t>
        </is>
      </c>
      <c r="C276" s="3" t="inlineStr">
        <is>
          <t xml:space="preserve">OK</t>
        </is>
      </c>
    </row>
    <row r="277">
      <c r="B277" s="1" t="inlineStr">
        <is>
          <t xml:space="preserve">Put formula "=SUMIF(F1:F3,F1,B1:B3)" into cell H36.</t>
        </is>
      </c>
      <c r="C277" s="3" t="inlineStr">
        <is>
          <t xml:space="preserve">OK</t>
        </is>
      </c>
    </row>
    <row r="278">
      <c r="B278" s="1" t="inlineStr">
        <is>
          <t xml:space="preserve">Put formula "=COUNTIF(A1:A12,""&lt;&gt;x"")" into cell H37.</t>
        </is>
      </c>
      <c r="C278" s="3" t="inlineStr">
        <is>
          <t xml:space="preserve">OK</t>
        </is>
      </c>
    </row>
    <row r="279">
      <c r="B279" s="1" t="inlineStr">
        <is>
          <t xml:space="preserve">Put formula "=COUNTIF(A1:A12,""&lt;15"")" into cell H38.</t>
        </is>
      </c>
      <c r="C279" s="3" t="inlineStr">
        <is>
          <t xml:space="preserve">OK</t>
        </is>
      </c>
    </row>
  </sheetData>
</worksheet>
</file>

<file path=xl/worksheets/frazaro_2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selection activeCell="A1" sqref="A1"/>
    </sheetView>
  </sheetViews>
  <sheetFormatPr defaultRowHeight="15"/>
  <sheetData>
    <row r="1">
      <c r="A1" s="0">
        <v>10</v>
      </c>
      <c r="B1" s="0" t="inlineStr">
        <is>
          <t xml:space="preserve">r1</t>
        </is>
      </c>
      <c r="C1" s="0">
        <v>80</v>
      </c>
      <c r="D1" s="0" t="inlineStr">
        <is>
          <t xml:space="preserve">apple</t>
        </is>
      </c>
      <c r="E1" s="0">
        <v>5</v>
      </c>
      <c r="F1" s="0">
        <v>50</v>
      </c>
      <c r="G1" s="0">
        <v>10</v>
      </c>
    </row>
    <row r="2">
      <c r="A2" s="0">
        <v>20</v>
      </c>
      <c r="B2" s="0" t="inlineStr">
        <is>
          <t xml:space="preserve">r2</t>
        </is>
      </c>
      <c r="C2" s="0">
        <v>70</v>
      </c>
      <c r="D2" s="0" t="inlineStr">
        <is>
          <t xml:space="preserve">Banana</t>
        </is>
      </c>
      <c r="E2" s="0" t="inlineStr">
        <is>
          <t xml:space="preserve">5</t>
        </is>
      </c>
      <c r="F2" s="0">
        <v>10</v>
      </c>
      <c r="G2" s="0" t="inlineStr">
        <is>
          <t xml:space="preserve">x</t>
        </is>
      </c>
    </row>
    <row r="3">
      <c r="A3" s="0">
        <v>30</v>
      </c>
      <c r="B3" s="0" t="inlineStr">
        <is>
          <t xml:space="preserve">r3</t>
        </is>
      </c>
      <c r="C3" s="0">
        <v>60</v>
      </c>
      <c r="D3" s="0" t="inlineStr">
        <is>
          <t xml:space="preserve">cherry</t>
        </is>
      </c>
      <c r="E3" s="0" t="b">
        <f>TRUE</f>
        <v>1</v>
      </c>
      <c r="F3" s="0">
        <v>70</v>
      </c>
      <c r="G3" s="0">
        <v>20</v>
      </c>
    </row>
    <row r="4">
      <c r="A4" s="0">
        <v>40</v>
      </c>
      <c r="B4" s="0" t="inlineStr">
        <is>
          <t xml:space="preserve">r4</t>
        </is>
      </c>
      <c r="C4" s="0">
        <v>50</v>
      </c>
      <c r="D4" s="0" t="inlineStr">
        <is>
          <t xml:space="preserve">Date</t>
        </is>
      </c>
      <c r="F4" s="0">
        <v>20</v>
      </c>
      <c r="G4" s="0" t="inlineStr">
        <is>
          <t xml:space="preserve">y</t>
        </is>
      </c>
    </row>
    <row r="5">
      <c r="A5" s="0">
        <v>50</v>
      </c>
      <c r="B5" s="0" t="inlineStr">
        <is>
          <t xml:space="preserve">r5</t>
        </is>
      </c>
      <c r="C5" s="0">
        <v>40</v>
      </c>
      <c r="D5" s="0" t="inlineStr">
        <is>
          <t xml:space="preserve">elder</t>
        </is>
      </c>
      <c r="E5" s="0" t="e">
        <f>1/0</f>
        <v>#DIV/0!</v>
      </c>
      <c r="F5" s="0">
        <v>80</v>
      </c>
      <c r="G5" s="0">
        <v>30</v>
      </c>
    </row>
    <row r="6">
      <c r="A6" s="0">
        <v>60</v>
      </c>
      <c r="B6" s="0" t="inlineStr">
        <is>
          <t xml:space="preserve">r6</t>
        </is>
      </c>
      <c r="C6" s="0">
        <v>30</v>
      </c>
      <c r="D6" s="0" t="inlineStr">
        <is>
          <t xml:space="preserve">Fig</t>
        </is>
      </c>
      <c r="E6" s="0">
        <v>5</v>
      </c>
      <c r="F6" s="0">
        <v>30</v>
      </c>
      <c r="G6" s="0" t="b">
        <f>TRUE</f>
        <v>1</v>
      </c>
    </row>
    <row r="7">
      <c r="A7" s="0">
        <v>70</v>
      </c>
      <c r="B7" s="0" t="inlineStr">
        <is>
          <t xml:space="preserve">r7</t>
        </is>
      </c>
      <c r="C7" s="0">
        <v>20</v>
      </c>
      <c r="D7" s="0" t="inlineStr">
        <is>
          <t xml:space="preserve">grape</t>
        </is>
      </c>
      <c r="E7" s="0" t="inlineStr">
        <is>
          <t xml:space="preserve">x</t>
        </is>
      </c>
      <c r="F7" s="0">
        <v>60</v>
      </c>
      <c r="G7" s="0">
        <v>40</v>
      </c>
    </row>
    <row r="8">
      <c r="A8" s="0">
        <v>80</v>
      </c>
      <c r="B8" s="0" t="inlineStr">
        <is>
          <t xml:space="preserve">r8</t>
        </is>
      </c>
      <c r="C8" s="0">
        <v>10</v>
      </c>
      <c r="D8" s="0" t="inlineStr">
        <is>
          <t xml:space="preserve">Hazel</t>
        </is>
      </c>
      <c r="E8" s="0" t="inlineStr">
        <is>
          <t xml:space="preserve">X</t>
        </is>
      </c>
      <c r="F8" s="0">
        <v>40</v>
      </c>
    </row>
    <row r="9">
      <c r="E9" s="0">
        <v>0</v>
      </c>
      <c r="G9" s="0">
        <v>50</v>
      </c>
    </row>
    <row r="10">
      <c r="E10" s="0" t="b">
        <f>FALSE</f>
        <v>0</v>
      </c>
    </row>
    <row r="12">
      <c r="A12" s="0">
        <v>1</v>
      </c>
      <c r="B12" s="0">
        <v>2</v>
      </c>
      <c r="C12" s="0">
        <v>3</v>
      </c>
      <c r="D12" s="0">
        <v>4</v>
      </c>
      <c r="E12" s="0">
        <v>5</v>
      </c>
      <c r="F12" s="0">
        <v>6</v>
      </c>
      <c r="G12" s="0">
        <v>7</v>
      </c>
      <c r="H12" s="0">
        <v>8</v>
      </c>
    </row>
    <row r="13">
      <c r="A13" s="0" t="inlineStr">
        <is>
          <t xml:space="preserve">one</t>
        </is>
      </c>
      <c r="B13" s="0" t="inlineStr">
        <is>
          <t xml:space="preserve">two</t>
        </is>
      </c>
      <c r="C13" s="0" t="inlineStr">
        <is>
          <t xml:space="preserve">three</t>
        </is>
      </c>
      <c r="D13" s="0" t="inlineStr">
        <is>
          <t xml:space="preserve">four</t>
        </is>
      </c>
      <c r="E13" s="0" t="inlineStr">
        <is>
          <t xml:space="preserve">five</t>
        </is>
      </c>
      <c r="F13" s="0" t="inlineStr">
        <is>
          <t xml:space="preserve">six</t>
        </is>
      </c>
      <c r="G13" s="0" t="inlineStr">
        <is>
          <t xml:space="preserve">seven</t>
        </is>
      </c>
      <c r="H13" s="0" t="inlineStr">
        <is>
          <t xml:space="preserve">eight</t>
        </is>
      </c>
    </row>
  </sheetData>
</worksheet>
</file>

<file path=xl/worksheets/frazaro_3.xml><?xml version="1.0" encoding="utf-8"?>
<worksheet xmlns="http://schemas.openxmlformats.org/spreadsheetml/2006/main" xmlns:r="http://schemas.openxmlformats.org/officeDocument/2006/relationships">
  <dimension ref="A1:A120"/>
  <sheetViews>
    <sheetView workbookViewId="0">
      <selection activeCell="A1" sqref="A1"/>
    </sheetView>
  </sheetViews>
  <sheetFormatPr defaultRowHeight="15"/>
  <sheetData>
    <row r="1">
      <c r="A1" s="0">
        <f>MATCH(30,Table!A1:A8,0)</f>
        <v>3</v>
      </c>
    </row>
    <row r="2">
      <c r="A2" s="0">
        <f>MATCH(35,Table!A1:A8,1)</f>
        <v>3</v>
      </c>
    </row>
    <row r="3">
      <c r="A3" s="0">
        <f>MATCH(35,Table!A1:A8)</f>
        <v>3</v>
      </c>
    </row>
    <row r="4">
      <c r="A4" s="0" t="e">
        <f>MATCH(5,Table!A1:A8)</f>
        <v>#N/A</v>
      </c>
    </row>
    <row r="5">
      <c r="A5" s="0">
        <f>MATCH(99,Table!A1:A8)</f>
        <v>8</v>
      </c>
    </row>
    <row r="6">
      <c r="A6" s="0">
        <f>MATCH(35,Table!C1:C8,-1)</f>
        <v>5</v>
      </c>
    </row>
    <row r="7">
      <c r="A7" s="0">
        <f>MATCH(5,Table!C1:C8,-1)</f>
        <v>8</v>
      </c>
    </row>
    <row r="8">
      <c r="A8" s="0" t="e">
        <f>MATCH(99,Table!C1:C8,-1)</f>
        <v>#N/A</v>
      </c>
    </row>
    <row r="9">
      <c r="A9" s="0">
        <f>MATCH("BANANA",Table!D1:D8,0)</f>
        <v>2</v>
      </c>
    </row>
    <row r="10">
      <c r="A10" s="0">
        <f>MATCH("b*",Table!D1:D8,0)</f>
        <v>2</v>
      </c>
    </row>
    <row r="11">
      <c r="A11" s="0">
        <f>MATCH("?ig",Table!D1:D8,0)</f>
        <v>6</v>
      </c>
    </row>
    <row r="12">
      <c r="A12" s="0">
        <f>MATCH("*e*",Table!D1:D8,0)</f>
        <v>1</v>
      </c>
    </row>
    <row r="13">
      <c r="A13" s="0">
        <f>MATCH("cherrz",Table!D1:D8,1)</f>
        <v>3</v>
      </c>
    </row>
    <row r="14">
      <c r="A14" s="0">
        <f>MATCH("5",Table!E1:E10,0)</f>
        <v>2</v>
      </c>
    </row>
    <row r="15">
      <c r="A15" s="0">
        <f>MATCH(5,Table!E1:E10,0)</f>
        <v>1</v>
      </c>
    </row>
    <row r="16">
      <c r="A16" s="0">
        <f>MATCH(TRUE,Table!E1:E10,0)</f>
        <v>3</v>
      </c>
    </row>
    <row r="17">
      <c r="A17" s="0">
        <f>MATCH("X",Table!E1:E10,0)</f>
        <v>7</v>
      </c>
    </row>
    <row r="18">
      <c r="A18" s="0">
        <f>MATCH(0,Table!E1:E10,0)</f>
        <v>9</v>
      </c>
    </row>
    <row r="19">
      <c r="A19" s="0">
        <f>MATCH(FALSE,Table!E1:E10,0)</f>
        <v>10</v>
      </c>
    </row>
    <row r="20">
      <c r="A20" s="0" t="e">
        <f>MATCH(30,Table!A1:B8,0)</f>
        <v>#N/A</v>
      </c>
    </row>
    <row r="21">
      <c r="A21" s="0" t="e">
        <f>MATCH(35,Table!A1:A8,)</f>
        <v>#N/A</v>
      </c>
    </row>
    <row r="22">
      <c r="A22" s="0">
        <f>MATCH(3,Table!A12:H12,0)</f>
        <v>3</v>
      </c>
    </row>
    <row r="23">
      <c r="A23" s="0">
        <f>MATCH(45,Table!F1:F8,1)</f>
        <v>6</v>
      </c>
    </row>
    <row r="24">
      <c r="A24" s="0">
        <f>MATCH(25,Table!F1:F8,1)</f>
        <v>4</v>
      </c>
    </row>
    <row r="25">
      <c r="A25" s="0">
        <f>MATCH(65,Table!F1:F8)</f>
        <v>8</v>
      </c>
    </row>
    <row r="26">
      <c r="A26" s="0">
        <f>MATCH(15,Table!F1:F8,-1)</f>
        <v>1</v>
      </c>
    </row>
    <row r="27">
      <c r="A27" s="0">
        <f>MATCH(35,Table!G1:G9,1)</f>
        <v>5</v>
      </c>
    </row>
    <row r="28">
      <c r="A28" s="0">
        <f>MATCH("xa",Table!G1:G9,1)</f>
        <v>2</v>
      </c>
    </row>
    <row r="29">
      <c r="A29" s="0">
        <f>MATCH(TRUE,Table!G1:G9,1)</f>
        <v>6</v>
      </c>
    </row>
    <row r="30">
      <c r="A30" s="0" t="e">
        <f>MATCH(Table!E5,Table!A1:A8,0)</f>
        <v>#DIV/0!</v>
      </c>
    </row>
    <row r="31">
      <c r="A31" s="0">
        <f>_xlfn.XMATCH("banana",Table!D1:D8)</f>
        <v>2</v>
      </c>
    </row>
    <row r="32">
      <c r="A32" s="0" t="e">
        <f>_xlfn.XMATCH(35,Table!A1:A8)</f>
        <v>#N/A</v>
      </c>
    </row>
    <row r="33">
      <c r="A33" s="0">
        <f>_xlfn.XMATCH(35,Table!A1:A8,1)</f>
        <v>4</v>
      </c>
    </row>
    <row r="34">
      <c r="A34" s="0">
        <f>_xlfn.XMATCH(35,Table!A1:A8,-1)</f>
        <v>3</v>
      </c>
    </row>
    <row r="35">
      <c r="A35" s="0">
        <f>_xlfn.XMATCH(35,Table!A1:A8,1,2)</f>
        <v>4</v>
      </c>
    </row>
    <row r="36">
      <c r="A36" s="0">
        <f>_xlfn.XMATCH(35,Table!A1:A8,-1,2)</f>
        <v>3</v>
      </c>
    </row>
    <row r="37">
      <c r="A37" s="0">
        <f>_xlfn.XMATCH(35,Table!C1:C8,1,-2)</f>
        <v>5</v>
      </c>
    </row>
    <row r="38">
      <c r="A38" s="0">
        <f>_xlfn.XMATCH(35,Table!C1:C8,-1,-2)</f>
        <v>6</v>
      </c>
    </row>
    <row r="39">
      <c r="A39" s="0">
        <f>_xlfn.XMATCH("c*",Table!D1:D8,2)</f>
        <v>3</v>
      </c>
    </row>
    <row r="40">
      <c r="A40" s="0" t="e">
        <f>_xlfn.XMATCH("c*",Table!D1:D8)</f>
        <v>#N/A</v>
      </c>
    </row>
    <row r="41">
      <c r="A41" s="0">
        <f>_xlfn.XMATCH(5,Table!E1:E10,0,-1)</f>
        <v>6</v>
      </c>
    </row>
    <row r="42">
      <c r="A42" s="0">
        <f>_xlfn.XMATCH(45,Table!F1:F8,1)</f>
        <v>1</v>
      </c>
    </row>
    <row r="43">
      <c r="A43" s="0">
        <f>_xlfn.XMATCH(45,Table!F1:F8,-1)</f>
        <v>8</v>
      </c>
    </row>
    <row r="44">
      <c r="A44" s="0">
        <f>_xlfn.XMATCH(45,Table!F1:F8,1,2)</f>
        <v>7</v>
      </c>
    </row>
    <row r="45">
      <c r="A45" s="0">
        <f>_xlfn.XMATCH(45,Table!F1:F8,-1,2)</f>
        <v>6</v>
      </c>
    </row>
    <row r="46">
      <c r="A46" s="0">
        <f>_xlfn.XMATCH(30,Table!A1:A8,3)</f>
      </c>
    </row>
    <row r="47">
      <c r="A47" s="0" t="e">
        <f>_xlfn.XMATCH(30,Table!A1:A8,0,3)</f>
        <v>#VALUE!</v>
      </c>
    </row>
    <row r="48">
      <c r="A48" s="0" t="e">
        <f>_xlfn.XMATCH("c*",Table!D1:D8,2,2)</f>
        <v>#VALUE!</v>
      </c>
    </row>
    <row r="49">
      <c r="A49" s="0" t="e">
        <f>_xlfn.XMATCH(30,Table!A1:B8)</f>
        <v>#VALUE!</v>
      </c>
    </row>
    <row r="50">
      <c r="A50" s="0">
        <f>_xlfn.XMATCH(4,Table!A12:H12)</f>
        <v>4</v>
      </c>
    </row>
    <row r="51">
      <c r="A51" s="0">
        <f>_xlfn.XMATCH(0,Table!E1:E10)</f>
        <v>9</v>
      </c>
    </row>
    <row r="52">
      <c r="A52" s="0">
        <f>_xlfn.XMATCH("x",Table!E1:E10,0,-1)</f>
        <v>8</v>
      </c>
    </row>
    <row r="53">
      <c r="A53" s="0" t="str">
        <f>VLOOKUP(30,Table!A1:B8,2,FALSE)</f>
        <v>r3</v>
      </c>
    </row>
    <row r="54">
      <c r="A54" s="0" t="str">
        <f>VLOOKUP(35,Table!A1:B8,2)</f>
        <v>r3</v>
      </c>
    </row>
    <row r="55">
      <c r="A55" s="0" t="str">
        <f>VLOOKUP(35,Table!A1:B8,2,TRUE)</f>
        <v>r3</v>
      </c>
    </row>
    <row r="56">
      <c r="A56" s="0" t="e">
        <f>VLOOKUP(35,Table!A1:B8,2,FALSE)</f>
        <v>#N/A</v>
      </c>
    </row>
    <row r="57">
      <c r="A57" s="0" t="e">
        <f>VLOOKUP(35,Table!A1:B8,2,)</f>
        <v>#N/A</v>
      </c>
    </row>
    <row r="58">
      <c r="A58" s="0" t="e">
        <f>VLOOKUP(30,Table!A1:B8,3,FALSE)</f>
        <v>#REF!</v>
      </c>
    </row>
    <row r="59">
      <c r="A59" s="0" t="e">
        <f>VLOOKUP(30,Table!A1:B8,0,FALSE)</f>
        <v>#VALUE!</v>
      </c>
    </row>
    <row r="60">
      <c r="A60" s="0" t="b">
        <f>VLOOKUP("CHERRY",Table!D1:E8,2,FALSE)</f>
        <v>1</v>
      </c>
    </row>
    <row r="61">
      <c r="A61" s="0" t="str">
        <f>VLOOKUP("gr*",Table!D1:E8,2,FALSE)</f>
        <v>x</v>
      </c>
    </row>
    <row r="62">
      <c r="A62" s="0">
        <f>VLOOKUP(40,Table!A1:E8,5,FALSE)</f>
        <v>0</v>
      </c>
    </row>
    <row r="63">
      <c r="A63" s="0" t="e">
        <f>VLOOKUP(5,Table!A1:B8,2)</f>
        <v>#N/A</v>
      </c>
    </row>
    <row r="64">
      <c r="A64" s="0" t="b">
        <f>VLOOKUP(45,Table!F1:G8,2)</f>
        <v>1</v>
      </c>
    </row>
    <row r="65">
      <c r="A65" s="0" t="str">
        <f>VLOOKUP(30,Table!A1:B8,2.7,FALSE)</f>
        <v>r3</v>
      </c>
    </row>
    <row r="66">
      <c r="A66" s="0" t="str">
        <f>VLOOKUP("zzz",Table!D1:E8,2)</f>
        <v>X</v>
      </c>
    </row>
    <row r="67">
      <c r="A67" s="0" t="str">
        <f>HLOOKUP(3,Table!A12:H13,2,FALSE)</f>
        <v>three</v>
      </c>
    </row>
    <row r="68">
      <c r="A68" s="0" t="str">
        <f>HLOOKUP(3.5,Table!A12:H13,2)</f>
        <v>three</v>
      </c>
    </row>
    <row r="69">
      <c r="A69" s="0" t="e">
        <f>HLOOKUP(3,Table!A12:H13,3,FALSE)</f>
        <v>#REF!</v>
      </c>
    </row>
    <row r="70">
      <c r="A70" s="0" t="e">
        <f>HLOOKUP(0,Table!A12:H13,2)</f>
        <v>#N/A</v>
      </c>
    </row>
    <row r="71">
      <c r="A71" s="0" t="str" cm="1">
        <f t="array" ref="A71">LOOKUP(35,Table!A1:A8,Table!B1:B8)</f>
        <v>r3</v>
      </c>
    </row>
    <row r="72">
      <c r="A72" s="0" t="str" cm="1">
        <f t="array" ref="A72">LOOKUP(35,Table!A1:B8)</f>
        <v>r3</v>
      </c>
    </row>
    <row r="73">
      <c r="A73" s="0" t="e" cm="1">
        <f t="array" ref="A73">LOOKUP(5,Table!A1:A8,Table!B1:B8)</f>
        <v>#N/A</v>
      </c>
    </row>
    <row r="74">
      <c r="A74" s="0" t="str" cm="1">
        <f t="array" ref="A74">LOOKUP(3.5,Table!A12:H13)</f>
        <v>three</v>
      </c>
    </row>
    <row r="75">
      <c r="A75" s="0" cm="1">
        <f t="array" ref="A75">LOOKUP(9.99E+307,Table!A1:A8)</f>
        <v>80</v>
      </c>
    </row>
    <row r="76">
      <c r="A76" s="0" t="str" cm="1">
        <f t="array" ref="A76">LOOKUP("zzzz",Table!D1:D8)</f>
        <v>Hazel</v>
      </c>
    </row>
    <row r="77">
      <c r="A77" s="0" t="str" cm="1">
        <f t="array" ref="A77">LOOKUP(35,Table!A1:A8,Table!A13:H13)</f>
        <v>three</v>
      </c>
    </row>
    <row r="78">
      <c r="A78" s="0" cm="1">
        <f t="array" ref="A78">LOOKUP(99,Table!A1:A8,Table!B1:B4)</f>
      </c>
    </row>
    <row r="79">
      <c r="A79" s="0" cm="1">
        <f t="array" ref="A79">LOOKUP(9.99E+307,Table!G1:G9)</f>
        <v>50</v>
      </c>
    </row>
    <row r="80">
      <c r="A80" s="0" t="str" cm="1">
        <f t="array" ref="A80">LOOKUP(45,Table!F1:F8,Table!B1:B8)</f>
        <v>r6</v>
      </c>
    </row>
    <row r="81">
      <c r="A81" s="0" t="str" cm="1">
        <f t="array" ref="A81">_xlfn.XLOOKUP(30,Table!A1:A8,Table!B1:B8)</f>
        <v>r3</v>
      </c>
    </row>
    <row r="82">
      <c r="A82" s="0" t="str" cm="1">
        <f t="array" ref="A82">_xlfn.XLOOKUP(31,Table!A1:A8,Table!B1:B8,"none")</f>
        <v>none</v>
      </c>
    </row>
    <row r="83">
      <c r="A83" s="0" t="e" cm="1">
        <f t="array" ref="A83">_xlfn.XLOOKUP(31,Table!A1:A8,Table!B1:B8)</f>
        <v>#N/A</v>
      </c>
    </row>
    <row r="84">
      <c r="A84" s="0" t="str" cm="1">
        <f t="array" ref="A84">_xlfn.XLOOKUP(35,Table!A1:A8,Table!B1:B8,,1)</f>
        <v>r4</v>
      </c>
    </row>
    <row r="85">
      <c r="A85" s="0" t="str" cm="1">
        <f t="array" ref="A85">_xlfn.XLOOKUP(35,Table!A1:A8,Table!B1:B8,,-1,2)</f>
        <v>r3</v>
      </c>
    </row>
    <row r="86">
      <c r="A86" s="0" t="e" cm="1">
        <f t="array" ref="A86">_xlfn.XLOOKUP(30,Table!A1:A8,Table!B1:B7)</f>
        <v>#VALUE!</v>
      </c>
    </row>
    <row r="87">
      <c r="A87" s="0" t="str" cm="1">
        <f t="array" ref="A87">_xlfn.XLOOKUP(3,Table!A12:H12,Table!A13:H13)</f>
        <v>three</v>
      </c>
    </row>
    <row r="88">
      <c r="A88" s="0" cm="1">
        <f t="array" ref="A88">_xlfn.XLOOKUP(5,Table!E1:E10,Table!A1:A10,,0,-1)</f>
        <v>60</v>
      </c>
    </row>
    <row r="89">
      <c r="A89" s="0" cm="1">
        <f t="array" ref="A89">_xlfn.XLOOKUP("b?nana",Table!D1:D8,Table!A1:A8,,2)</f>
        <v>20</v>
      </c>
    </row>
    <row r="90">
      <c r="A90" s="0" cm="1">
        <f t="array" ref="A90">_xlfn.XLOOKUP(45,Table!F1:F8,Table!A1:A8,,1)</f>
        <v>10</v>
      </c>
    </row>
    <row r="91">
      <c r="A91" s="0" t="e" cm="1">
        <f t="array" ref="A91">_xlfn.XLOOKUP(31,Table!A1:A8,Table!B1:B8,1/0)</f>
        <v>#DIV/0!</v>
      </c>
    </row>
    <row r="92">
      <c r="A92" s="0" t="str" cm="1">
        <f t="array" ref="A92">INDEX(Table!A1:B8,3,2)</f>
        <v>r3</v>
      </c>
    </row>
    <row r="93">
      <c r="A93" s="0" cm="1">
        <f t="array" ref="A93">INDEX(Table!A1:A8,4)</f>
        <v>40</v>
      </c>
    </row>
    <row r="94">
      <c r="A94" s="0" cm="1">
        <f t="array" ref="A94">INDEX(Table!A12:H12,3)</f>
        <v>3</v>
      </c>
    </row>
    <row r="95">
      <c r="A95" s="0" t="e" cm="1">
        <f t="array" ref="A95">INDEX(Table!A1:B8,9,1)</f>
        <v>#REF!</v>
      </c>
    </row>
    <row r="96">
      <c r="A96" s="0" t="e" cm="1">
        <f t="array" ref="A96">INDEX(Table!A1:B8,1,3)</f>
        <v>#REF!</v>
      </c>
    </row>
    <row r="97">
      <c r="A97" s="0" t="e" cm="1">
        <f t="array" ref="A97">INDEX(Table!A1:B8,-1,1)</f>
        <v>#VALUE!</v>
      </c>
    </row>
    <row r="98">
      <c r="A98" s="0" cm="1">
        <f t="array" ref="A98">INDEX(Table!A1:B8,2.9,1.2)</f>
        <v>20</v>
      </c>
    </row>
    <row r="99">
      <c r="A99" s="0" cm="1">
        <f t="array" ref="A99">SUM(INDEX(Table!A1:C8,0,1))</f>
        <v>360</v>
      </c>
    </row>
    <row r="100">
      <c r="A100" s="0" cm="1">
        <f t="array" ref="A100">SUM(INDEX(Table!A1:C8,2,0))</f>
        <v>90</v>
      </c>
    </row>
    <row r="101">
      <c r="A101" s="0" cm="1">
        <f t="array" ref="A101">INDEX(Table!A1:A8,MATCH(40,Table!A1:A8,0))</f>
        <v>40</v>
      </c>
    </row>
    <row r="102">
      <c r="A102" s="0" cm="1">
        <f t="array" ref="A102">INDEX(5,1)</f>
        <v>5</v>
      </c>
    </row>
    <row r="103">
      <c r="A103" s="0" cm="1">
        <f t="array" ref="A103">INDEX(Table!A1:B8,1,1,1)</f>
        <v>10</v>
      </c>
    </row>
    <row r="104">
      <c r="A104" s="0" t="e" cm="1">
        <f t="array" ref="A104">INDEX(Table!A1:B8,1,1,2)</f>
        <v>#REF!</v>
      </c>
    </row>
    <row r="105">
      <c r="A105" s="0" t="e" cm="1">
        <f t="array" ref="A105">INDEX(Table!A1:B8,"x")</f>
        <v>#VALUE!</v>
      </c>
    </row>
    <row r="106">
      <c r="A106" s="0" cm="1">
        <f t="array" ref="A106">INDEX(Table!A1:B8,2,0)</f>
      </c>
    </row>
    <row r="107">
      <c r="A107" s="0" cm="1">
        <f t="array" ref="A107">INDEX(Table!A1:A8,0)</f>
      </c>
    </row>
    <row r="108">
      <c r="A108" s="0">
        <f>IFERROR(VLOOKUP(31,Table!A1:B8,2,FALSE),0)</f>
        <v>0</v>
      </c>
    </row>
    <row r="109">
      <c r="A109" s="0" t="str">
        <f>IFERROR(VLOOKUP(30,Table!A1:B8,2,FALSE),0)</f>
        <v>r3</v>
      </c>
    </row>
    <row r="110">
      <c r="A110" s="0" t="e">
        <f>_xlfn.IFNA(1/0,2)</f>
        <v>#DIV/0!</v>
      </c>
    </row>
    <row r="111">
      <c r="A111" s="0">
        <f>IFERROR(1/0,2)</f>
        <v>2</v>
      </c>
    </row>
    <row r="112">
      <c r="A112" s="0">
        <f>_xlfn.IFNA(MATCH(31,Table!A1:A8,0),-1)</f>
        <v>-1</v>
      </c>
    </row>
    <row r="113">
      <c r="A113" s="0" t="b">
        <f>ISNA(MATCH(31,Table!A1:A8,0))</f>
        <v>1</v>
      </c>
    </row>
    <row r="114">
      <c r="A114" s="0" t="b">
        <f>ISERROR(Table!A1)</f>
        <v>0</v>
      </c>
    </row>
    <row r="115">
      <c r="A115" s="0" t="b">
        <f>ISERROR(Table!E5)</f>
        <v>1</v>
      </c>
    </row>
    <row r="116">
      <c r="A116" s="0" t="b">
        <f>ISNA(1/0)</f>
        <v>0</v>
      </c>
    </row>
    <row r="117">
      <c r="A117" s="0" t="b">
        <f>ISERROR(Table!E4)</f>
        <v>0</v>
      </c>
    </row>
    <row r="118">
      <c r="A118" s="0" t="str">
        <f>IF(ISNA(MATCH(31,Table!A1:A8,0)),"missing",MATCH(31,Table!A1:A8,0))</f>
        <v>missing</v>
      </c>
    </row>
    <row r="119">
      <c r="A119" s="0">
        <f>IFERROR(1/0,)</f>
        <v>0</v>
      </c>
    </row>
    <row r="120">
      <c r="A120" s="0">
        <f>_xlfn.IFNA(Table!A1,1)</f>
        <v>10</v>
      </c>
    </row>
  </sheetData>
</worksheet>
</file>

<file path=xl/worksheets/frazaro_4.xml><?xml version="1.0" encoding="utf-8"?>
<worksheet xmlns="http://schemas.openxmlformats.org/spreadsheetml/2006/main" xmlns:r="http://schemas.openxmlformats.org/officeDocument/2006/relationships">
  <dimension ref="A1:H38"/>
  <sheetViews>
    <sheetView workbookViewId="0">
      <selection activeCell="A1" sqref="A1"/>
    </sheetView>
  </sheetViews>
  <sheetFormatPr defaultRowHeight="15"/>
  <sheetData>
    <row r="1">
      <c r="A1" s="0">
        <v>10</v>
      </c>
      <c r="B1" s="0">
        <v>1</v>
      </c>
      <c r="C1" s="0">
        <v>1</v>
      </c>
      <c r="D1" s="0" t="inlineStr">
        <is>
          <t xml:space="preserve">a</t>
        </is>
      </c>
      <c r="E1" s="0">
        <f>0.1+0.2</f>
        <v>0.30000000000000004</v>
      </c>
      <c r="F1" s="0" t="inlineStr">
        <is>
          <t xml:space="preserve">É</t>
        </is>
      </c>
      <c r="H1" s="0">
        <f>COUNTIF(A1:A12,20)</f>
        <v>3</v>
      </c>
    </row>
    <row r="2">
      <c r="A2" s="0">
        <v>20</v>
      </c>
      <c r="B2" s="0">
        <v>2</v>
      </c>
      <c r="C2" s="0" t="e">
        <f>1/0</f>
        <v>#DIV/0!</v>
      </c>
      <c r="D2" s="0" t="inlineStr">
        <is>
          <t xml:space="preserve">b</t>
        </is>
      </c>
      <c r="F2" s="0" t="inlineStr">
        <is>
          <t xml:space="preserve">é</t>
        </is>
      </c>
      <c r="H2" s="0">
        <f>COUNTIF(A1:A12,"20")</f>
        <v>3</v>
      </c>
    </row>
    <row r="3">
      <c r="A3" s="0">
        <v>30</v>
      </c>
      <c r="B3" s="0">
        <v>3</v>
      </c>
      <c r="C3" s="0">
        <v>3</v>
      </c>
      <c r="D3" s="0" t="inlineStr">
        <is>
          <t xml:space="preserve">a</t>
        </is>
      </c>
      <c r="F3" s="0" t="inlineStr">
        <is>
          <t xml:space="preserve">e</t>
        </is>
      </c>
      <c r="H3" s="0">
        <f>COUNTIF(A1:A12,"=20")</f>
        <v>3</v>
      </c>
    </row>
    <row r="4">
      <c r="A4" s="0">
        <v>20</v>
      </c>
      <c r="B4" s="0">
        <v>4</v>
      </c>
      <c r="C4" s="0">
        <v>4</v>
      </c>
      <c r="D4" s="0" t="inlineStr">
        <is>
          <t xml:space="preserve">b</t>
        </is>
      </c>
      <c r="H4" s="0">
        <f>COUNTIF(A1:A12,"&lt;&gt;20")</f>
        <v>10</v>
      </c>
    </row>
    <row r="5">
      <c r="A5" s="0" t="inlineStr">
        <is>
          <t xml:space="preserve">20</t>
        </is>
      </c>
      <c r="B5" s="0">
        <v>5</v>
      </c>
      <c r="H5" s="0">
        <f>COUNTIF(A1:A12,"&gt;15")</f>
        <v>3</v>
      </c>
    </row>
    <row r="6">
      <c r="A6" s="0" t="inlineStr">
        <is>
          <t xml:space="preserve">x</t>
        </is>
      </c>
      <c r="B6" s="0">
        <v>6</v>
      </c>
      <c r="H6" s="0">
        <f>COUNTIF(A1:A12,"x")</f>
        <v>2</v>
      </c>
    </row>
    <row r="7">
      <c r="A7" s="0" t="inlineStr">
        <is>
          <t xml:space="preserve">X</t>
        </is>
      </c>
      <c r="B7" s="0">
        <v>7</v>
      </c>
      <c r="H7" s="0">
        <f>COUNTIF(A1:A12,"x*")</f>
        <v>2</v>
      </c>
    </row>
    <row r="8">
      <c r="A8" s="0" t="b">
        <f>TRUE</f>
        <v>1</v>
      </c>
      <c r="B8" s="0">
        <v>8</v>
      </c>
      <c r="H8" s="0">
        <f>COUNTIF(A1:A12,"?")</f>
        <v>2</v>
      </c>
    </row>
    <row r="9">
      <c r="B9" s="0">
        <v>9</v>
      </c>
      <c r="H9" s="0">
        <f>COUNTIF(A1:A12,"*")</f>
        <v>3</v>
      </c>
    </row>
    <row r="10">
      <c r="A10" s="0">
        <v>0</v>
      </c>
      <c r="B10" s="0">
        <v>10</v>
      </c>
      <c r="H10" s="0">
        <f>COUNTIF(A1:A12,"")</f>
        <v>1</v>
      </c>
    </row>
    <row r="11">
      <c r="A11" s="0">
        <v>0</v>
      </c>
      <c r="B11" s="0">
        <v>11</v>
      </c>
      <c r="H11" s="0">
        <f>COUNTIF(A1:A12,"&lt;&gt;")</f>
        <v>11</v>
      </c>
    </row>
    <row r="12">
      <c r="A12" s="0">
        <v>5</v>
      </c>
      <c r="B12" s="0">
        <v>12</v>
      </c>
      <c r="H12" s="0">
        <f>COUNTIF(A1:A12,TRUE)</f>
        <v>1</v>
      </c>
    </row>
    <row r="13">
      <c r="H13" s="0">
        <f>COUNTIF(A1:A12,"TRUE")</f>
        <v>1</v>
      </c>
    </row>
    <row r="14">
      <c r="H14" s="0">
        <f>COUNTIF(A1:A12,0)</f>
        <v>2</v>
      </c>
    </row>
    <row r="15">
      <c r="H15" s="0">
        <f>COUNTIF(A1:A12,A4)</f>
        <v>3</v>
      </c>
    </row>
    <row r="16">
      <c r="H16" s="0">
        <f>COUNTIF(A1:A12,A9)</f>
        <v>2</v>
      </c>
    </row>
    <row r="17">
      <c r="H17" s="0">
        <f>SUMIF(A1:A12,20,B1:B12)</f>
        <v>11</v>
      </c>
    </row>
    <row r="18">
      <c r="H18" s="0">
        <f>SUMIF(A1:A12,"&gt;15",B1:B12)</f>
        <v>9</v>
      </c>
    </row>
    <row r="19">
      <c r="H19" s="0">
        <f>SUMIF(A1:A12,"x*",B1:B12)</f>
        <v>13</v>
      </c>
    </row>
    <row r="20">
      <c r="H20" s="0">
        <f>SUMIF(A1:A12,"&lt;&gt;20",B1:B12)</f>
        <v>72</v>
      </c>
    </row>
    <row r="21">
      <c r="H21" s="0">
        <f>SUMIF(A1:A12,"",B1:B12)</f>
        <v>9</v>
      </c>
    </row>
    <row r="22">
      <c r="H22" s="0">
        <f>SUMIF(A1:A12,20)</f>
        <v>40</v>
      </c>
    </row>
    <row r="23">
      <c r="H23" s="0">
        <f>SUMIF(D1:D4,"a",C1:C4)</f>
        <v>4</v>
      </c>
    </row>
    <row r="24">
      <c r="H24" s="0" t="e">
        <f>SUMIF(D1:D4,"b",C1:C4)</f>
        <v>#DIV/0!</v>
      </c>
    </row>
    <row r="25">
      <c r="H25" s="0">
        <f>COUNTIF(C1:C4,1)</f>
        <v>1</v>
      </c>
    </row>
    <row r="26">
      <c r="H26" s="0">
        <f>COUNTIF(C1:C4,"#DIV/0!")</f>
        <v>1</v>
      </c>
    </row>
    <row r="27">
      <c r="H27" s="0">
        <f>SUMIF(A1:A12,20,B1)</f>
      </c>
    </row>
    <row r="28">
      <c r="H28" s="0">
        <f>SUMIF(A1:A3,"&gt;15",B1:B12)</f>
        <v>5</v>
      </c>
    </row>
    <row r="29">
      <c r="H29" s="0" t="b">
        <f>F1=F2</f>
        <v>1</v>
      </c>
    </row>
    <row r="30">
      <c r="H30" s="0" t="b">
        <f>0.1+0.2=0.3</f>
        <v>1</v>
      </c>
    </row>
    <row r="31">
      <c r="H31" s="0" t="e">
        <f>MATCH(0.3,E1,0)</f>
        <v>#N/A</v>
      </c>
    </row>
    <row r="32">
      <c r="H32" s="0">
        <f>COUNTIF(E1,0.3)</f>
        <v>1</v>
      </c>
    </row>
    <row r="33">
      <c r="H33" s="0" t="e">
        <f>VLOOKUP(0.3,E1,1,FALSE)</f>
        <v>#N/A</v>
      </c>
    </row>
    <row r="34">
      <c r="H34" s="0">
        <f>COUNTIF(F1:F3,F2)</f>
        <v>2</v>
      </c>
    </row>
    <row r="35">
      <c r="H35" s="0">
        <f>MATCH(F2,F1:F3,0)</f>
        <v>1</v>
      </c>
    </row>
    <row r="36">
      <c r="H36" s="0">
        <f>SUMIF(F1:F3,F1,B1:B3)</f>
        <v>3</v>
      </c>
    </row>
    <row r="37">
      <c r="H37" s="0">
        <f>COUNTIF(A1:A12,"&lt;&gt;x")</f>
        <v>10</v>
      </c>
    </row>
    <row r="38">
      <c r="H38" s="0">
        <f>COUNTIF(A1:A12,"&lt;15")</f>
        <v>4</v>
      </c>
    </row>
  </sheetData>
</worksheet>
</file>

<file path=docProps/app.xml><?xml version="1.0" encoding="utf-8"?>
<Properties xmlns="http://schemas.openxmlformats.org/officeDocument/2006/extended-properties">
  <Application>Frazaro</Application>
</Properties>
</file>

<file path=docProps/core.xml><?xml version="1.0" encoding="utf-8"?>
<cp:coreProperties xmlns:cp="http://schemas.openxmlformats.org/package/2006/metadata/core-properties"/>
</file>