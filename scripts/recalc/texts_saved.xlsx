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st\Documents\Code\VLA\Delta\Frazaro\scripts\recalc\"/>
    </mc:Choice>
  </mc:AlternateContent>
  <xr:revisionPtr revIDLastSave="0" documentId="8_{F4681253-6382-4CFF-A854-CE4D9D9E6804}" xr6:coauthVersionLast="47" xr6:coauthVersionMax="47" xr10:uidLastSave="{00000000-0000-0000-0000-000000000000}"/>
  <bookViews>
    <workbookView xWindow="840" yWindow="290" windowWidth="18020" windowHeight="21000" activeTab="1" xr2:uid="{00000000-000D-0000-FFFF-FFFF00000000}"/>
  </bookViews>
  <sheets>
    <sheet name="Frazaro" sheetId="1" r:id="rId1"/>
    <sheet name="data" sheetId="2" r:id="rId2"/>
    <sheet name="functions" sheetId="3" r:id="rId3"/>
    <sheet name="order" sheetId="4" r:id="rId4"/>
  </sheets>
  <definedNames>
    <definedName name="Frazaro.Build">_xlfn._LONGTEXT("Frazaro 0.10.1; sentences sha256:9522ECF86E483070E7DC00425378BAEB21F453678E319D6B24DC2E84BC13C3D6 over 21984 non-whitespace bytes; prelude sha256:887F55C46AA71563EE5DE0F74E3D4DB1C0022986248AD1FBF8A7A63711AC508C over 27033 non-whitespace bytes; phrasebook ","1 sha256:5E5FF4121AA83D783E926C1A78B8E8C7C45BFE1E1184340F8D93A0285DDCB949 over 167902 non-whitespace bytes")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3" i="4" l="1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  <c r="B1" i="4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1" i="3"/>
  <c r="A170" i="3"/>
  <c r="A169" i="3"/>
  <c r="A168" i="3"/>
  <c r="A167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3" i="3"/>
  <c r="A101" i="3"/>
  <c r="A98" i="3"/>
  <c r="A97" i="3"/>
  <c r="A96" i="3"/>
  <c r="A95" i="3"/>
  <c r="A94" i="3"/>
  <c r="A93" i="3"/>
  <c r="A92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5" i="3"/>
  <c r="A3" i="3"/>
  <c r="A2" i="3"/>
  <c r="A1" i="3"/>
  <c r="A9" i="2"/>
  <c r="A172" i="3" s="1"/>
  <c r="A8" i="2"/>
  <c r="A91" i="3" s="1"/>
  <c r="A99" i="3" l="1"/>
  <c r="A100" i="3"/>
  <c r="A104" i="3"/>
  <c r="A166" i="3"/>
  <c r="A4" i="3"/>
  <c r="A102" i="3"/>
  <c r="A6" i="3"/>
  <c r="A128" i="3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<sst xmlns="http://schemas.openxmlformats.org/spreadsheetml/2006/main" count="1272" uniqueCount="721">
  <si>
    <t># The text functions' fixture (KERNEL.8, slice c): a Data sheet of the texts the functions read, words and spaces, an</t>
  </si>
  <si>
    <t>OK</t>
  </si>
  <si>
    <t># apostrophe and digits among letters, letters beyond ASCII, an emoji (a surrogate pair, two UTF-16 units) first and</t>
  </si>
  <si>
    <t># between letters, a number, a truth value and an error, a row of texts with an empty cell among them, delimiters, and</t>
  </si>
  <si>
    <t># texts a locale might read; a Functions sheet of one formula a function and a rule, each a legacy formula, TEXT's</t>
  </si>
  <si>
    <t># dates and times among them, and the comparisons the order of texts answers; and an Order sheet of characters and</t>
  </si>
  <si>
    <t># texts, each beside its rank among them, SUMPRODUCT(--(range&lt;text)), which this version does not compute: the</t>
  </si>
  <si>
    <t># order's golden, Excel's own ranks, read off its save. Built by frazaro into texts.xlsx (each value it computes</t>
  </si>
  <si>
    <t># held); the owner's save of it is texts_saved.xlsx.</t>
  </si>
  <si>
    <t>Work on sheet Data.</t>
  </si>
  <si>
    <t>Put "Hello World" into cell A1.</t>
  </si>
  <si>
    <t>Put "  lots   of   space  " into cell A2.</t>
  </si>
  <si>
    <t>Put "o'neil 2nd-place" into cell A3.</t>
  </si>
  <si>
    <t>Put "Éclair ß" into cell A4.</t>
  </si>
  <si>
    <t>Put "😀ab" into cell A5.</t>
  </si>
  <si>
    <t>Put "a😀b" into cell A6.</t>
  </si>
  <si>
    <t>Put "x" into cell B1.</t>
  </si>
  <si>
    <t>Put "z" into cell B3.</t>
  </si>
  <si>
    <t>Put "1,000" into cell C1.</t>
  </si>
  <si>
    <t>Put "12abc" into cell C2.</t>
  </si>
  <si>
    <t>Put "50%" into cell C3.</t>
  </si>
  <si>
    <t>Put " 7 " into cell C4.</t>
  </si>
  <si>
    <t>Put "abc" into cell C5.</t>
  </si>
  <si>
    <t>Put "-" into cell D1.</t>
  </si>
  <si>
    <t>Put "+" into cell D2.</t>
  </si>
  <si>
    <t>Put 123.5 into cell A7.</t>
  </si>
  <si>
    <t>Put formula "=TRUE" into cell A8.</t>
  </si>
  <si>
    <t>Put formula "=1/0" into cell A9.</t>
  </si>
  <si>
    <t>Work on sheet Functions.</t>
  </si>
  <si>
    <t>Put formula "=LEN(Data!A1)" into cell A1.</t>
  </si>
  <si>
    <t>Put formula "=LEN(Data!A5)" into cell A2.</t>
  </si>
  <si>
    <t>Put formula "=LEN(Data!A7)" into cell A3.</t>
  </si>
  <si>
    <t>Put formula "=LEN(Data!A8)" into cell A4.</t>
  </si>
  <si>
    <t>Put formula "=LEN("""")" into cell A5.</t>
  </si>
  <si>
    <t>Put formula "=LEN(Data!A9)" into cell A6.</t>
  </si>
  <si>
    <t>Put formula "=LEFT(Data!A1)" into cell A7.</t>
  </si>
  <si>
    <t>Put formula "=LEFT(Data!A1,5)" into cell A8.</t>
  </si>
  <si>
    <t>Put formula "=LEFT(Data!A1,99)" into cell A9.</t>
  </si>
  <si>
    <t>Put formula "=LEFT(Data!A1,0)" into cell A10.</t>
  </si>
  <si>
    <t>Put formula "=LEFT(Data!A1,2.9)" into cell A11.</t>
  </si>
  <si>
    <t>Put formula "=LEFT(Data!A1,-1)" into cell A12.</t>
  </si>
  <si>
    <t>Put formula "=LEFT(Data!A1,-0.5)" into cell A13.</t>
  </si>
  <si>
    <t>Put formula "=LEFT(1234,2)" into cell A14.</t>
  </si>
  <si>
    <t>Put formula "=LEFT(Data!A5,2)" into cell A15.</t>
  </si>
  <si>
    <t>Put formula "=LEFT(Data!A5,1)" into cell A16.</t>
  </si>
  <si>
    <t>Put formula "=RIGHT(Data!A1,5)" into cell A17.</t>
  </si>
  <si>
    <t>Put formula "=RIGHT(Data!A6,3)" into cell A18.</t>
  </si>
  <si>
    <t>Put formula "=RIGHT(Data!A6,2)" into cell A19.</t>
  </si>
  <si>
    <t>Put formula "=MID(Data!A1,7,5)" into cell A20.</t>
  </si>
  <si>
    <t>Put formula "=MID(Data!A1,7,99)" into cell A21.</t>
  </si>
  <si>
    <t>Put formula "=MID(Data!A1,20,5)" into cell A22.</t>
  </si>
  <si>
    <t>Put formula "=MID(Data!A1,0,5)" into cell A23.</t>
  </si>
  <si>
    <t>Put formula "=MID(Data!A1,1,-1)" into cell A24.</t>
  </si>
  <si>
    <t>Put formula "=MID(Data!A6,2,2)" into cell A25.</t>
  </si>
  <si>
    <t>Put formula "=MID(Data!A6,3,1)" into cell A26.</t>
  </si>
  <si>
    <t>Put formula "=MID(Data!A1,1.9,2)" into cell A27.</t>
  </si>
  <si>
    <t>Put formula "=FIND(""o"",Data!A1)" into cell A28.</t>
  </si>
  <si>
    <t>Put formula "=FIND(""o"",Data!A1,6)" into cell A29.</t>
  </si>
  <si>
    <t>Put formula "=FIND(""O"",Data!A1)" into cell A30.</t>
  </si>
  <si>
    <t>Put formula "=FIND(""x"",Data!A1)" into cell A31.</t>
  </si>
  <si>
    <t>Put formula "=FIND(""o"",Data!A1,0)" into cell A32.</t>
  </si>
  <si>
    <t>Put formula "=FIND(""o"",Data!A1,12)" into cell A33.</t>
  </si>
  <si>
    <t>Put formula "=FIND("""",Data!A1)" into cell A34.</t>
  </si>
  <si>
    <t>Put formula "=FIND("""",Data!A1,3)" into cell A35.</t>
  </si>
  <si>
    <t>Put formula "=FIND("""",Data!A1,12)" into cell A36.</t>
  </si>
  <si>
    <t>Put formula "=FIND("""","""")" into cell A37.</t>
  </si>
  <si>
    <t>Put formula "=FIND(""b"",Data!A6)" into cell A38.</t>
  </si>
  <si>
    <t>Put formula "=SEARCH(""O"",Data!A1)" into cell A39.</t>
  </si>
  <si>
    <t>Put formula "=SEARCH(""w?r"",Data!A1)" into cell A40.</t>
  </si>
  <si>
    <t>Put formula "=SEARCH(""l*d"",Data!A1)" into cell A41.</t>
  </si>
  <si>
    <t>Put formula "=SEARCH(""~*"",""a*b"")" into cell A42.</t>
  </si>
  <si>
    <t>Put formula "=SEARCH(""é"",Data!A4)" into cell A43.</t>
  </si>
  <si>
    <t>Put formula "=SEARCH(""É"",Data!A4)" into cell A44.</t>
  </si>
  <si>
    <t>Put formula "=SEARCH(""?"",Data!A6)" into cell A45.</t>
  </si>
  <si>
    <t>Put formula "=SEARCH(""b"",Data!A6)" into cell A46.</t>
  </si>
  <si>
    <t>Put formula "=SEARCH(""*"",Data!A1)" into cell A47.</t>
  </si>
  <si>
    <t>Put formula "=SEARCH(""d*"",Data!A1)" into cell A48.</t>
  </si>
  <si>
    <t>Put formula "=SUBSTITUTE(""aaa"",""aa"",""b"")" into cell A49.</t>
  </si>
  <si>
    <t>Put formula "=SUBSTITUTE(""a-b-c"",""-"",""+"")" into cell A50.</t>
  </si>
  <si>
    <t>Put formula "=SUBSTITUTE(""a-b-c"",""-"",""+"",2)" into cell A51.</t>
  </si>
  <si>
    <t>Put formula "=SUBSTITUTE(""a-b-c"",""-"",""+"",3)" into cell A52.</t>
  </si>
  <si>
    <t>Put formula "=SUBSTITUTE(""abc"","""",""x"")" into cell A53.</t>
  </si>
  <si>
    <t>Put formula "=SUBSTITUTE(""abc"",""B"",""x"")" into cell A54.</t>
  </si>
  <si>
    <t>Put formula "=SUBSTITUTE(""abc"",""b"",""x"",0)" into cell A55.</t>
  </si>
  <si>
    <t>Put formula "=SUBSTITUTE(""abc"",""b"",""x"",1.9)" into cell A56.</t>
  </si>
  <si>
    <t>Put formula "=REPLACE(""abcdef"",2,3,""X"")" into cell A57.</t>
  </si>
  <si>
    <t>Put formula "=REPLACE(""abc"",10,1,""X"")" into cell A58.</t>
  </si>
  <si>
    <t>Put formula "=REPLACE(""abc"",0,1,""X"")" into cell A59.</t>
  </si>
  <si>
    <t>Put formula "=REPLACE(""abc"",1,-1,""X"")" into cell A60.</t>
  </si>
  <si>
    <t>Put formula "=REPLACE(Data!A5,2,1,""X"")" into cell A61.</t>
  </si>
  <si>
    <t>Put formula "=REPLACE(Data!A5,3,1,""X"")" into cell A62.</t>
  </si>
  <si>
    <t>Put formula "=UPPER(Data!A4)" into cell A63.</t>
  </si>
  <si>
    <t>Put formula "=LOWER(""ÉCLAIR"")" into cell A64.</t>
  </si>
  <si>
    <t>Put formula "=PROPER(Data!A3)" into cell A65.</t>
  </si>
  <si>
    <t>Put formula "=PROPER(""hELLO wORLD"")" into cell A66.</t>
  </si>
  <si>
    <t>Put formula "=UPPER(""ﬁ"")" into cell A67.</t>
  </si>
  <si>
    <t>Put formula "=LOWER(""İ"")" into cell A68.</t>
  </si>
  <si>
    <t>Put formula "=PROPER(""élan vital"")" into cell A69.</t>
  </si>
  <si>
    <t>Put formula "=TRIM(Data!A2)" into cell A70.</t>
  </si>
  <si>
    <t>Put formula "=TRIM("" a"" &amp; CHAR(9) &amp; ""b "")" into cell A71.</t>
  </si>
  <si>
    <t>Put formula "=EXACT(""a"",""A"")" into cell A72.</t>
  </si>
  <si>
    <t>Put formula "=EXACT(""a"",""a"")" into cell A73.</t>
  </si>
  <si>
    <t>Put formula "=EXACT(1,""1"")" into cell A74.</t>
  </si>
  <si>
    <t>Put formula "=EXACT(TRUE,""TRUE"")" into cell A75.</t>
  </si>
  <si>
    <t>Put formula "=REPT(""ab"",3)" into cell A76.</t>
  </si>
  <si>
    <t>Put formula "=REPT(""ab"",0)" into cell A77.</t>
  </si>
  <si>
    <t>Put formula "=REPT(""ab"",-1)" into cell A78.</t>
  </si>
  <si>
    <t>Put formula "=REPT(""ab"",2.9)" into cell A79.</t>
  </si>
  <si>
    <t>Put formula "=REPT(""ab"",20000)" into cell A80.</t>
  </si>
  <si>
    <t>Put formula "=LEN(REPT(""x"",32767))" into cell A81.</t>
  </si>
  <si>
    <t>Put formula "=LEN(REPT(""x"",32767)&amp;""x"")" into cell A82.</t>
  </si>
  <si>
    <t>Put formula "=LEN(REPT(""😀"",16383)&amp;""x"")" into cell A83.</t>
  </si>
  <si>
    <t>Put formula "=LEN(REPT(""😀"",16384))" into cell A84.</t>
  </si>
  <si>
    <t>Put formula "=LEN(CONCATENATE(REPT(""x"",32767),""x""))" into cell A85.</t>
  </si>
  <si>
    <t>Put formula "=LEN(SUBSTITUTE(REPT(""x"",20000),""x"",""yy""))" into cell A86.</t>
  </si>
  <si>
    <t>Put formula "=VALUE(Data!C3)" into cell A87.</t>
  </si>
  <si>
    <t>Put formula "=VALUE(Data!C4)" into cell A88.</t>
  </si>
  <si>
    <t>Put formula "=VALUE(5)" into cell A89.</t>
  </si>
  <si>
    <t>Put formula "=VALUE(Data!C5)" into cell A90.</t>
  </si>
  <si>
    <t>Put formula "=VALUE(Data!A8)" into cell A91.</t>
  </si>
  <si>
    <t>Put formula "=VALUE(Data!C1)" into cell A92.</t>
  </si>
  <si>
    <t>Put formula "=VALUE(Data!C2)" into cell A93.</t>
  </si>
  <si>
    <t>Put formula "=VALUE(""1e3"")" into cell A94.</t>
  </si>
  <si>
    <t>Put formula "=VALUE(""-.5"")" into cell A95.</t>
  </si>
  <si>
    <t>Put formula "=VALUE("""")" into cell A96.</t>
  </si>
  <si>
    <t>Put formula "=T(Data!A1)" into cell A97.</t>
  </si>
  <si>
    <t>Put formula "=T(5)" into cell A98.</t>
  </si>
  <si>
    <t>Put formula "=T(Data!A9)" into cell A99.</t>
  </si>
  <si>
    <t>Put formula "=T(Data!A8)" into cell A100.</t>
  </si>
  <si>
    <t>Put formula "=N(5)" into cell A101.</t>
  </si>
  <si>
    <t>Put formula "=N(Data!A8)" into cell A102.</t>
  </si>
  <si>
    <t>Put formula "=N(""x"")" into cell A103.</t>
  </si>
  <si>
    <t>Put formula "=N(Data!A9)" into cell A104.</t>
  </si>
  <si>
    <t>Put formula "=N(Data!A1)" into cell A105.</t>
  </si>
  <si>
    <t>Put formula "=UNICODE(""A"")" into cell A106.</t>
  </si>
  <si>
    <t>Put formula "=UNICODE(Data!A5)" into cell A107.</t>
  </si>
  <si>
    <t>Put formula "=UNICODE("""")" into cell A108.</t>
  </si>
  <si>
    <t>Put formula "=UNICODE(""é"")" into cell A109.</t>
  </si>
  <si>
    <t>Put formula "=UNICHAR(65)" into cell A110.</t>
  </si>
  <si>
    <t>Put formula "=UNICHAR(233)" into cell A111.</t>
  </si>
  <si>
    <t>Put formula "=UNICHAR(128512)" into cell A112.</t>
  </si>
  <si>
    <t>Put formula "=UNICHAR(55296)" into cell A113.</t>
  </si>
  <si>
    <t>Put formula "=UNICHAR(0)" into cell A114.</t>
  </si>
  <si>
    <t>Put formula "=UNICHAR(1114112)" into cell A115.</t>
  </si>
  <si>
    <t>Put formula "=UNICHAR(65.9)" into cell A116.</t>
  </si>
  <si>
    <t>Put formula "=CHAR(65)" into cell A117.</t>
  </si>
  <si>
    <t>Put formula "=CHAR(32)" into cell A118.</t>
  </si>
  <si>
    <t>Put formula "=CHAR(126)" into cell A119.</t>
  </si>
  <si>
    <t>Put formula "=CHAR(200)" into cell A120.</t>
  </si>
  <si>
    <t>Put formula "=CHAR(0)" into cell A121.</t>
  </si>
  <si>
    <t>Put formula "=CHAR(256)" into cell A122.</t>
  </si>
  <si>
    <t>Put formula "=CODE(""A"")" into cell A123.</t>
  </si>
  <si>
    <t>Put formula "=CODE(""abc"")" into cell A124.</t>
  </si>
  <si>
    <t>Put formula "=CODE(""é"")" into cell A125.</t>
  </si>
  <si>
    <t>Put formula "=CODE("""")" into cell A126.</t>
  </si>
  <si>
    <t>Put formula "=CONCATENATE(""a"",1,TRUE)" into cell A127.</t>
  </si>
  <si>
    <t>Put formula "=CONCATENATE(Data!A9,""x"")" into cell A128.</t>
  </si>
  <si>
    <t>Put formula "=CONCATENATE(""a"",Data!B2,""b"")" into cell A129.</t>
  </si>
  <si>
    <t>Put formula "=CONCAT(Data!B1:B3)" into cell A130.</t>
  </si>
  <si>
    <t>Put formula "=CONCAT(""a"",Data!B1:B3,""b"")" into cell A131.</t>
  </si>
  <si>
    <t>Put formula "=CONCAT(Data!A8:A9)" into cell A132.</t>
  </si>
  <si>
    <t>Put formula "=CONCAT(Data!C1:D2)" into cell A133.</t>
  </si>
  <si>
    <t>Put formula "=TEXTJOIN("","",TRUE,Data!B1:B3)" into cell A134.</t>
  </si>
  <si>
    <t>Put formula "=TEXTJOIN("","",FALSE,Data!B1:B3)" into cell A135.</t>
  </si>
  <si>
    <t>Put formula "=TEXTJOIN("","",TRUE,""a"","""",""b"")" into cell A136.</t>
  </si>
  <si>
    <t>Put formula "=TEXTJOIN("","",FALSE,""a"","""",""b"")" into cell A137.</t>
  </si>
  <si>
    <t>Put formula "=TEXTJOIN("""",FALSE,Data!B1:B3)" into cell A138.</t>
  </si>
  <si>
    <t>Put formula "=TEXTJOIN(Data!D1:D2,TRUE,""a"",""b"",""c"")" into cell A139.</t>
  </si>
  <si>
    <t>Put formula "=TEXTJOIN("","",TRUE,Data!A9)" into cell A140.</t>
  </si>
  <si>
    <t>Put formula "=TEXTJOIN("", "",TRUE,Data!C1:D2)" into cell A141.</t>
  </si>
  <si>
    <t>Put formula "=LEN(TEXTJOIN("","",FALSE,Data!B:B))" into cell A142.</t>
  </si>
  <si>
    <t>Put formula "=TEXT(1234.5,""#,##0.00"")" into cell A143.</t>
  </si>
  <si>
    <t>Put formula "=TEXT(0.256,""0.0%"")" into cell A144.</t>
  </si>
  <si>
    <t>Put formula "=TEXT(45292,""yyyy-mm-dd"")" into cell A145.</t>
  </si>
  <si>
    <t>Put formula "=TEXT(45292,""dddd, mmmm d"")" into cell A146.</t>
  </si>
  <si>
    <t>Put formula "=TEXT(45292,""ddd d mmm yy"")" into cell A147.</t>
  </si>
  <si>
    <t>Put formula "=TEXT(45292,""mmmmm"")" into cell A148.</t>
  </si>
  <si>
    <t>Put formula "=TEXT(45292,""d/m/yyyy"")" into cell A149.</t>
  </si>
  <si>
    <t>Put formula "=TEXT(60,""yyyy-mm-dd"")" into cell A150.</t>
  </si>
  <si>
    <t>Put formula "=TEXT(0,""yyyy-mm-dd ddd"")" into cell A151.</t>
  </si>
  <si>
    <t>Put formula "=TEXT(1,""dddd"")" into cell A152.</t>
  </si>
  <si>
    <t>Put formula "=TEXT(2958465,""yyyy-mm-dd"")" into cell A153.</t>
  </si>
  <si>
    <t>Put formula "=TEXT(0.75,""h:mm AM/PM"")" into cell A154.</t>
  </si>
  <si>
    <t>Put formula "=TEXT(0.75,""hh:mm:ss"")" into cell A155.</t>
  </si>
  <si>
    <t>Put formula "=TEXT(0.5,""h:mm a/p"")" into cell A156.</t>
  </si>
  <si>
    <t>Put formula "=TEXT(1.5,""[h]:mm"")" into cell A157.</t>
  </si>
  <si>
    <t>Put formula "=TEXT(1/24,""[mm]:ss"")" into cell A158.</t>
  </si>
  <si>
    <t>Put formula "=TEXT(1.5/86400,""mm:ss.00"")" into cell A159.</t>
  </si>
  <si>
    <t>Put formula "=TEXT(0.99999999,""h:mm:ss"")" into cell A160.</t>
  </si>
  <si>
    <t>Put formula "=TEXT(59.6/86400,""h:mm"")" into cell A161.</t>
  </si>
  <si>
    <t>Put formula "=TEXT(45292.75,""yyyy-mm-dd hh:mm"")" into cell A162.</t>
  </si>
  <si>
    <t>Put formula "=TEXT(""12"",""0.00"")" into cell A163.</t>
  </si>
  <si>
    <t>Put formula "=TEXT(""abc"",""0.00"")" into cell A164.</t>
  </si>
  <si>
    <t>Put formula "=TEXT(""abc"",""0;0;0;""""&lt;""""@""""&gt;"""""")" into cell A165.</t>
  </si>
  <si>
    <t>Put formula "=TEXT(Data!A8,""0"")" into cell A166.</t>
  </si>
  <si>
    <t>Put formula "=TEXT(-1,""yyyy"")" into cell A167.</t>
  </si>
  <si>
    <t>Put formula "=TEXT(2958466,""yyyy"")" into cell A168.</t>
  </si>
  <si>
    <t>Put formula "=TEXT(1.5,""General"")" into cell A169.</t>
  </si>
  <si>
    <t>Put formula "=TEXT(5,""@"")" into cell A170.</t>
  </si>
  <si>
    <t>Put formula "=TEXT(5,"""")" into cell A171.</t>
  </si>
  <si>
    <t>Put formula "=TEXT(Data!A9,""0"")" into cell A172.</t>
  </si>
  <si>
    <t>Put formula "=""a""=""A""" into cell A173.</t>
  </si>
  <si>
    <t>Put formula "=""é""=""É""" into cell A174.</t>
  </si>
  <si>
    <t>Put formula "=""é""=""e""" into cell A175.</t>
  </si>
  <si>
    <t>Put formula "=""ß""=""ss""" into cell A176.</t>
  </si>
  <si>
    <t>Put formula "=""a""&lt;""B""" into cell A177.</t>
  </si>
  <si>
    <t>Put formula "=""B""&lt;""a""" into cell A178.</t>
  </si>
  <si>
    <t>Put formula "=""Z""&lt;""a""" into cell A179.</t>
  </si>
  <si>
    <t>Put formula "=""-""&lt;""a""" into cell A180.</t>
  </si>
  <si>
    <t>Put formula "="" ""&lt;""0""" into cell A181.</t>
  </si>
  <si>
    <t>Put formula "=""0""&lt;""a""" into cell A182.</t>
  </si>
  <si>
    <t>Put formula "=""_""&lt;""a""" into cell A183.</t>
  </si>
  <si>
    <t>Put formula "=""[""&lt;""a""" into cell A184.</t>
  </si>
  <si>
    <t>Put formula "=""~""&lt;""a""" into cell A185.</t>
  </si>
  <si>
    <t>Put formula "=""é""&lt;""f""" into cell A186.</t>
  </si>
  <si>
    <t>Put formula "=""e""&lt;""é""" into cell A187.</t>
  </si>
  <si>
    <t>Put formula "=""co-op""&lt;""coop""" into cell A188.</t>
  </si>
  <si>
    <t>Put formula "=""coop""&lt;""co-op""" into cell A189.</t>
  </si>
  <si>
    <t>Put formula "=""a b""&lt;""ab""" into cell A190.</t>
  </si>
  <si>
    <t>Put formula "=""a""&lt;""a """ into cell A191.</t>
  </si>
  <si>
    <t>Put formula "=""10""&lt;""9""" into cell A192.</t>
  </si>
  <si>
    <t>Work on sheet Order.</t>
  </si>
  <si>
    <t>Put " " into cell A1.</t>
  </si>
  <si>
    <t>Put formula "=SUMPRODUCT(--($A$1:$A$163&lt;A1))" into cell B1.</t>
  </si>
  <si>
    <t>Put "!" into cell A2.</t>
  </si>
  <si>
    <t>Put formula "=SUMPRODUCT(--($A$1:$A$163&lt;A2))" into cell B2.</t>
  </si>
  <si>
    <t>Put """" into cell A3.</t>
  </si>
  <si>
    <t>Put formula "=SUMPRODUCT(--($A$1:$A$163&lt;A3))" into cell B3.</t>
  </si>
  <si>
    <t>Put "#" into cell A4.</t>
  </si>
  <si>
    <t>Put formula "=SUMPRODUCT(--($A$1:$A$163&lt;A4))" into cell B4.</t>
  </si>
  <si>
    <t>Put "$" into cell A5.</t>
  </si>
  <si>
    <t>Put formula "=SUMPRODUCT(--($A$1:$A$163&lt;A5))" into cell B5.</t>
  </si>
  <si>
    <t>Put "%" into cell A6.</t>
  </si>
  <si>
    <t>Put formula "=SUMPRODUCT(--($A$1:$A$163&lt;A6))" into cell B6.</t>
  </si>
  <si>
    <t>Put "&amp;" into cell A7.</t>
  </si>
  <si>
    <t>Put formula "=SUMPRODUCT(--($A$1:$A$163&lt;A7))" into cell B7.</t>
  </si>
  <si>
    <t>Put "'" into cell A8.</t>
  </si>
  <si>
    <t>Put formula "=SUMPRODUCT(--($A$1:$A$163&lt;A8))" into cell B8.</t>
  </si>
  <si>
    <t>Put "(" into cell A9.</t>
  </si>
  <si>
    <t>Put formula "=SUMPRODUCT(--($A$1:$A$163&lt;A9))" into cell B9.</t>
  </si>
  <si>
    <t>Put ")" into cell A10.</t>
  </si>
  <si>
    <t>Put formula "=SUMPRODUCT(--($A$1:$A$163&lt;A10))" into cell B10.</t>
  </si>
  <si>
    <t>Put "*" into cell A11.</t>
  </si>
  <si>
    <t>Put formula "=SUMPRODUCT(--($A$1:$A$163&lt;A11))" into cell B11.</t>
  </si>
  <si>
    <t>Put "+" into cell A12.</t>
  </si>
  <si>
    <t>Put formula "=SUMPRODUCT(--($A$1:$A$163&lt;A12))" into cell B12.</t>
  </si>
  <si>
    <t>Put "," into cell A13.</t>
  </si>
  <si>
    <t>Put formula "=SUMPRODUCT(--($A$1:$A$163&lt;A13))" into cell B13.</t>
  </si>
  <si>
    <t>Put "-" into cell A14.</t>
  </si>
  <si>
    <t>Put formula "=SUMPRODUCT(--($A$1:$A$163&lt;A14))" into cell B14.</t>
  </si>
  <si>
    <t>Put "." into cell A15.</t>
  </si>
  <si>
    <t>Put formula "=SUMPRODUCT(--($A$1:$A$163&lt;A15))" into cell B15.</t>
  </si>
  <si>
    <t>Put "/" into cell A16.</t>
  </si>
  <si>
    <t>Put formula "=SUMPRODUCT(--($A$1:$A$163&lt;A16))" into cell B16.</t>
  </si>
  <si>
    <t>Put "0" into cell A17.</t>
  </si>
  <si>
    <t>Put formula "=SUMPRODUCT(--($A$1:$A$163&lt;A17))" into cell B17.</t>
  </si>
  <si>
    <t>Put "1" into cell A18.</t>
  </si>
  <si>
    <t>Put formula "=SUMPRODUCT(--($A$1:$A$163&lt;A18))" into cell B18.</t>
  </si>
  <si>
    <t>Put "2" into cell A19.</t>
  </si>
  <si>
    <t>Put formula "=SUMPRODUCT(--($A$1:$A$163&lt;A19))" into cell B19.</t>
  </si>
  <si>
    <t>Put "3" into cell A20.</t>
  </si>
  <si>
    <t>Put formula "=SUMPRODUCT(--($A$1:$A$163&lt;A20))" into cell B20.</t>
  </si>
  <si>
    <t>Put "4" into cell A21.</t>
  </si>
  <si>
    <t>Put formula "=SUMPRODUCT(--($A$1:$A$163&lt;A21))" into cell B21.</t>
  </si>
  <si>
    <t>Put "5" into cell A22.</t>
  </si>
  <si>
    <t>Put formula "=SUMPRODUCT(--($A$1:$A$163&lt;A22))" into cell B22.</t>
  </si>
  <si>
    <t>Put "6" into cell A23.</t>
  </si>
  <si>
    <t>Put formula "=SUMPRODUCT(--($A$1:$A$163&lt;A23))" into cell B23.</t>
  </si>
  <si>
    <t>Put "7" into cell A24.</t>
  </si>
  <si>
    <t>Put formula "=SUMPRODUCT(--($A$1:$A$163&lt;A24))" into cell B24.</t>
  </si>
  <si>
    <t>Put "8" into cell A25.</t>
  </si>
  <si>
    <t>Put formula "=SUMPRODUCT(--($A$1:$A$163&lt;A25))" into cell B25.</t>
  </si>
  <si>
    <t>Put "9" into cell A26.</t>
  </si>
  <si>
    <t>Put formula "=SUMPRODUCT(--($A$1:$A$163&lt;A26))" into cell B26.</t>
  </si>
  <si>
    <t>Put ":" into cell A27.</t>
  </si>
  <si>
    <t>Put formula "=SUMPRODUCT(--($A$1:$A$163&lt;A27))" into cell B27.</t>
  </si>
  <si>
    <t>Put ";" into cell A28.</t>
  </si>
  <si>
    <t>Put formula "=SUMPRODUCT(--($A$1:$A$163&lt;A28))" into cell B28.</t>
  </si>
  <si>
    <t>Put "&lt;" into cell A29.</t>
  </si>
  <si>
    <t>Put formula "=SUMPRODUCT(--($A$1:$A$163&lt;A29))" into cell B29.</t>
  </si>
  <si>
    <t>Put "=" into cell A30.</t>
  </si>
  <si>
    <t>Put formula "=SUMPRODUCT(--($A$1:$A$163&lt;A30))" into cell B30.</t>
  </si>
  <si>
    <t>Put "&gt;" into cell A31.</t>
  </si>
  <si>
    <t>Put formula "=SUMPRODUCT(--($A$1:$A$163&lt;A31))" into cell B31.</t>
  </si>
  <si>
    <t>Put "?" into cell A32.</t>
  </si>
  <si>
    <t>Put formula "=SUMPRODUCT(--($A$1:$A$163&lt;A32))" into cell B32.</t>
  </si>
  <si>
    <t>Put "@" into cell A33.</t>
  </si>
  <si>
    <t>Put formula "=SUMPRODUCT(--($A$1:$A$163&lt;A33))" into cell B33.</t>
  </si>
  <si>
    <t>Put "A" into cell A34.</t>
  </si>
  <si>
    <t>Put formula "=SUMPRODUCT(--($A$1:$A$163&lt;A34))" into cell B34.</t>
  </si>
  <si>
    <t>Put "B" into cell A35.</t>
  </si>
  <si>
    <t>Put formula "=SUMPRODUCT(--($A$1:$A$163&lt;A35))" into cell B35.</t>
  </si>
  <si>
    <t>Put "C" into cell A36.</t>
  </si>
  <si>
    <t>Put formula "=SUMPRODUCT(--($A$1:$A$163&lt;A36))" into cell B36.</t>
  </si>
  <si>
    <t>Put "D" into cell A37.</t>
  </si>
  <si>
    <t>Put formula "=SUMPRODUCT(--($A$1:$A$163&lt;A37))" into cell B37.</t>
  </si>
  <si>
    <t>Put "E" into cell A38.</t>
  </si>
  <si>
    <t>Put formula "=SUMPRODUCT(--($A$1:$A$163&lt;A38))" into cell B38.</t>
  </si>
  <si>
    <t>Put "F" into cell A39.</t>
  </si>
  <si>
    <t>Put formula "=SUMPRODUCT(--($A$1:$A$163&lt;A39))" into cell B39.</t>
  </si>
  <si>
    <t>Put "G" into cell A40.</t>
  </si>
  <si>
    <t>Put formula "=SUMPRODUCT(--($A$1:$A$163&lt;A40))" into cell B40.</t>
  </si>
  <si>
    <t>Put "H" into cell A41.</t>
  </si>
  <si>
    <t>Put formula "=SUMPRODUCT(--($A$1:$A$163&lt;A41))" into cell B41.</t>
  </si>
  <si>
    <t>Put "I" into cell A42.</t>
  </si>
  <si>
    <t>Put formula "=SUMPRODUCT(--($A$1:$A$163&lt;A42))" into cell B42.</t>
  </si>
  <si>
    <t>Put "J" into cell A43.</t>
  </si>
  <si>
    <t>Put formula "=SUMPRODUCT(--($A$1:$A$163&lt;A43))" into cell B43.</t>
  </si>
  <si>
    <t>Put "K" into cell A44.</t>
  </si>
  <si>
    <t>Put formula "=SUMPRODUCT(--($A$1:$A$163&lt;A44))" into cell B44.</t>
  </si>
  <si>
    <t>Put "L" into cell A45.</t>
  </si>
  <si>
    <t>Put formula "=SUMPRODUCT(--($A$1:$A$163&lt;A45))" into cell B45.</t>
  </si>
  <si>
    <t>Put "M" into cell A46.</t>
  </si>
  <si>
    <t>Put formula "=SUMPRODUCT(--($A$1:$A$163&lt;A46))" into cell B46.</t>
  </si>
  <si>
    <t>Put "N" into cell A47.</t>
  </si>
  <si>
    <t>Put formula "=SUMPRODUCT(--($A$1:$A$163&lt;A47))" into cell B47.</t>
  </si>
  <si>
    <t>Put "O" into cell A48.</t>
  </si>
  <si>
    <t>Put formula "=SUMPRODUCT(--($A$1:$A$163&lt;A48))" into cell B48.</t>
  </si>
  <si>
    <t>Put "P" into cell A49.</t>
  </si>
  <si>
    <t>Put formula "=SUMPRODUCT(--($A$1:$A$163&lt;A49))" into cell B49.</t>
  </si>
  <si>
    <t>Put "Q" into cell A50.</t>
  </si>
  <si>
    <t>Put formula "=SUMPRODUCT(--($A$1:$A$163&lt;A50))" into cell B50.</t>
  </si>
  <si>
    <t>Put "R" into cell A51.</t>
  </si>
  <si>
    <t>Put formula "=SUMPRODUCT(--($A$1:$A$163&lt;A51))" into cell B51.</t>
  </si>
  <si>
    <t>Put "S" into cell A52.</t>
  </si>
  <si>
    <t>Put formula "=SUMPRODUCT(--($A$1:$A$163&lt;A52))" into cell B52.</t>
  </si>
  <si>
    <t>Put "T" into cell A53.</t>
  </si>
  <si>
    <t>Put formula "=SUMPRODUCT(--($A$1:$A$163&lt;A53))" into cell B53.</t>
  </si>
  <si>
    <t>Put "U" into cell A54.</t>
  </si>
  <si>
    <t>Put formula "=SUMPRODUCT(--($A$1:$A$163&lt;A54))" into cell B54.</t>
  </si>
  <si>
    <t>Put "V" into cell A55.</t>
  </si>
  <si>
    <t>Put formula "=SUMPRODUCT(--($A$1:$A$163&lt;A55))" into cell B55.</t>
  </si>
  <si>
    <t>Put "W" into cell A56.</t>
  </si>
  <si>
    <t>Put formula "=SUMPRODUCT(--($A$1:$A$163&lt;A56))" into cell B56.</t>
  </si>
  <si>
    <t>Put "X" into cell A57.</t>
  </si>
  <si>
    <t>Put formula "=SUMPRODUCT(--($A$1:$A$163&lt;A57))" into cell B57.</t>
  </si>
  <si>
    <t>Put "Y" into cell A58.</t>
  </si>
  <si>
    <t>Put formula "=SUMPRODUCT(--($A$1:$A$163&lt;A58))" into cell B58.</t>
  </si>
  <si>
    <t>Put "Z" into cell A59.</t>
  </si>
  <si>
    <t>Put formula "=SUMPRODUCT(--($A$1:$A$163&lt;A59))" into cell B59.</t>
  </si>
  <si>
    <t>Put "[" into cell A60.</t>
  </si>
  <si>
    <t>Put formula "=SUMPRODUCT(--($A$1:$A$163&lt;A60))" into cell B60.</t>
  </si>
  <si>
    <t>Put "\" into cell A61.</t>
  </si>
  <si>
    <t>Put formula "=SUMPRODUCT(--($A$1:$A$163&lt;A61))" into cell B61.</t>
  </si>
  <si>
    <t>Put "]" into cell A62.</t>
  </si>
  <si>
    <t>Put formula "=SUMPRODUCT(--($A$1:$A$163&lt;A62))" into cell B62.</t>
  </si>
  <si>
    <t>Put "^" into cell A63.</t>
  </si>
  <si>
    <t>Put formula "=SUMPRODUCT(--($A$1:$A$163&lt;A63))" into cell B63.</t>
  </si>
  <si>
    <t>Put "_" into cell A64.</t>
  </si>
  <si>
    <t>Put formula "=SUMPRODUCT(--($A$1:$A$163&lt;A64))" into cell B64.</t>
  </si>
  <si>
    <t>Put "`" into cell A65.</t>
  </si>
  <si>
    <t>Put formula "=SUMPRODUCT(--($A$1:$A$163&lt;A65))" into cell B65.</t>
  </si>
  <si>
    <t>Put "a" into cell A66.</t>
  </si>
  <si>
    <t>Put formula "=SUMPRODUCT(--($A$1:$A$163&lt;A66))" into cell B66.</t>
  </si>
  <si>
    <t>Put "b" into cell A67.</t>
  </si>
  <si>
    <t>Put formula "=SUMPRODUCT(--($A$1:$A$163&lt;A67))" into cell B67.</t>
  </si>
  <si>
    <t>Put "c" into cell A68.</t>
  </si>
  <si>
    <t>Put formula "=SUMPRODUCT(--($A$1:$A$163&lt;A68))" into cell B68.</t>
  </si>
  <si>
    <t>Put "d" into cell A69.</t>
  </si>
  <si>
    <t>Put formula "=SUMPRODUCT(--($A$1:$A$163&lt;A69))" into cell B69.</t>
  </si>
  <si>
    <t>Put "e" into cell A70.</t>
  </si>
  <si>
    <t>Put formula "=SUMPRODUCT(--($A$1:$A$163&lt;A70))" into cell B70.</t>
  </si>
  <si>
    <t>Put "f" into cell A71.</t>
  </si>
  <si>
    <t>Put formula "=SUMPRODUCT(--($A$1:$A$163&lt;A71))" into cell B71.</t>
  </si>
  <si>
    <t>Put "g" into cell A72.</t>
  </si>
  <si>
    <t>Put formula "=SUMPRODUCT(--($A$1:$A$163&lt;A72))" into cell B72.</t>
  </si>
  <si>
    <t>Put "h" into cell A73.</t>
  </si>
  <si>
    <t>Put formula "=SUMPRODUCT(--($A$1:$A$163&lt;A73))" into cell B73.</t>
  </si>
  <si>
    <t>Put "i" into cell A74.</t>
  </si>
  <si>
    <t>Put formula "=SUMPRODUCT(--($A$1:$A$163&lt;A74))" into cell B74.</t>
  </si>
  <si>
    <t>Put "j" into cell A75.</t>
  </si>
  <si>
    <t>Put formula "=SUMPRODUCT(--($A$1:$A$163&lt;A75))" into cell B75.</t>
  </si>
  <si>
    <t>Put "k" into cell A76.</t>
  </si>
  <si>
    <t>Put formula "=SUMPRODUCT(--($A$1:$A$163&lt;A76))" into cell B76.</t>
  </si>
  <si>
    <t>Put "l" into cell A77.</t>
  </si>
  <si>
    <t>Put formula "=SUMPRODUCT(--($A$1:$A$163&lt;A77))" into cell B77.</t>
  </si>
  <si>
    <t>Put "m" into cell A78.</t>
  </si>
  <si>
    <t>Put formula "=SUMPRODUCT(--($A$1:$A$163&lt;A78))" into cell B78.</t>
  </si>
  <si>
    <t>Put "n" into cell A79.</t>
  </si>
  <si>
    <t>Put formula "=SUMPRODUCT(--($A$1:$A$163&lt;A79))" into cell B79.</t>
  </si>
  <si>
    <t>Put "o" into cell A80.</t>
  </si>
  <si>
    <t>Put formula "=SUMPRODUCT(--($A$1:$A$163&lt;A80))" into cell B80.</t>
  </si>
  <si>
    <t>Put "p" into cell A81.</t>
  </si>
  <si>
    <t>Put formula "=SUMPRODUCT(--($A$1:$A$163&lt;A81))" into cell B81.</t>
  </si>
  <si>
    <t>Put "q" into cell A82.</t>
  </si>
  <si>
    <t>Put formula "=SUMPRODUCT(--($A$1:$A$163&lt;A82))" into cell B82.</t>
  </si>
  <si>
    <t>Put "r" into cell A83.</t>
  </si>
  <si>
    <t>Put formula "=SUMPRODUCT(--($A$1:$A$163&lt;A83))" into cell B83.</t>
  </si>
  <si>
    <t>Put "s" into cell A84.</t>
  </si>
  <si>
    <t>Put formula "=SUMPRODUCT(--($A$1:$A$163&lt;A84))" into cell B84.</t>
  </si>
  <si>
    <t>Put "t" into cell A85.</t>
  </si>
  <si>
    <t>Put formula "=SUMPRODUCT(--($A$1:$A$163&lt;A85))" into cell B85.</t>
  </si>
  <si>
    <t>Put "u" into cell A86.</t>
  </si>
  <si>
    <t>Put formula "=SUMPRODUCT(--($A$1:$A$163&lt;A86))" into cell B86.</t>
  </si>
  <si>
    <t>Put "v" into cell A87.</t>
  </si>
  <si>
    <t>Put formula "=SUMPRODUCT(--($A$1:$A$163&lt;A87))" into cell B87.</t>
  </si>
  <si>
    <t>Put "w" into cell A88.</t>
  </si>
  <si>
    <t>Put formula "=SUMPRODUCT(--($A$1:$A$163&lt;A88))" into cell B88.</t>
  </si>
  <si>
    <t>Put "x" into cell A89.</t>
  </si>
  <si>
    <t>Put formula "=SUMPRODUCT(--($A$1:$A$163&lt;A89))" into cell B89.</t>
  </si>
  <si>
    <t>Put "y" into cell A90.</t>
  </si>
  <si>
    <t>Put formula "=SUMPRODUCT(--($A$1:$A$163&lt;A90))" into cell B90.</t>
  </si>
  <si>
    <t>Put "z" into cell A91.</t>
  </si>
  <si>
    <t>Put formula "=SUMPRODUCT(--($A$1:$A$163&lt;A91))" into cell B91.</t>
  </si>
  <si>
    <t>Put "{" into cell A92.</t>
  </si>
  <si>
    <t>Put formula "=SUMPRODUCT(--($A$1:$A$163&lt;A92))" into cell B92.</t>
  </si>
  <si>
    <t>Put "|" into cell A93.</t>
  </si>
  <si>
    <t>Put formula "=SUMPRODUCT(--($A$1:$A$163&lt;A93))" into cell B93.</t>
  </si>
  <si>
    <t>Put "}" into cell A94.</t>
  </si>
  <si>
    <t>Put formula "=SUMPRODUCT(--($A$1:$A$163&lt;A94))" into cell B94.</t>
  </si>
  <si>
    <t>Put "~" into cell A95.</t>
  </si>
  <si>
    <t>Put formula "=SUMPRODUCT(--($A$1:$A$163&lt;A95))" into cell B95.</t>
  </si>
  <si>
    <t>Put "é" into cell A96.</t>
  </si>
  <si>
    <t>Put formula "=SUMPRODUCT(--($A$1:$A$163&lt;A96))" into cell B96.</t>
  </si>
  <si>
    <t>Put "è" into cell A97.</t>
  </si>
  <si>
    <t>Put formula "=SUMPRODUCT(--($A$1:$A$163&lt;A97))" into cell B97.</t>
  </si>
  <si>
    <t>Put "ê" into cell A98.</t>
  </si>
  <si>
    <t>Put formula "=SUMPRODUCT(--($A$1:$A$163&lt;A98))" into cell B98.</t>
  </si>
  <si>
    <t>Put "ë" into cell A99.</t>
  </si>
  <si>
    <t>Put formula "=SUMPRODUCT(--($A$1:$A$163&lt;A99))" into cell B99.</t>
  </si>
  <si>
    <t>Put "à" into cell A100.</t>
  </si>
  <si>
    <t>Put formula "=SUMPRODUCT(--($A$1:$A$163&lt;A100))" into cell B100.</t>
  </si>
  <si>
    <t>Put "â" into cell A101.</t>
  </si>
  <si>
    <t>Put formula "=SUMPRODUCT(--($A$1:$A$163&lt;A101))" into cell B101.</t>
  </si>
  <si>
    <t>Put "ä" into cell A102.</t>
  </si>
  <si>
    <t>Put formula "=SUMPRODUCT(--($A$1:$A$163&lt;A102))" into cell B102.</t>
  </si>
  <si>
    <t>Put "å" into cell A103.</t>
  </si>
  <si>
    <t>Put formula "=SUMPRODUCT(--($A$1:$A$163&lt;A103))" into cell B103.</t>
  </si>
  <si>
    <t>Put "á" into cell A104.</t>
  </si>
  <si>
    <t>Put formula "=SUMPRODUCT(--($A$1:$A$163&lt;A104))" into cell B104.</t>
  </si>
  <si>
    <t>Put "ñ" into cell A105.</t>
  </si>
  <si>
    <t>Put formula "=SUMPRODUCT(--($A$1:$A$163&lt;A105))" into cell B105.</t>
  </si>
  <si>
    <t>Put "ç" into cell A106.</t>
  </si>
  <si>
    <t>Put formula "=SUMPRODUCT(--($A$1:$A$163&lt;A106))" into cell B106.</t>
  </si>
  <si>
    <t>Put "ö" into cell A107.</t>
  </si>
  <si>
    <t>Put formula "=SUMPRODUCT(--($A$1:$A$163&lt;A107))" into cell B107.</t>
  </si>
  <si>
    <t>Put "ô" into cell A108.</t>
  </si>
  <si>
    <t>Put formula "=SUMPRODUCT(--($A$1:$A$163&lt;A108))" into cell B108.</t>
  </si>
  <si>
    <t>Put "ò" into cell A109.</t>
  </si>
  <si>
    <t>Put formula "=SUMPRODUCT(--($A$1:$A$163&lt;A109))" into cell B109.</t>
  </si>
  <si>
    <t>Put "ø" into cell A110.</t>
  </si>
  <si>
    <t>Put formula "=SUMPRODUCT(--($A$1:$A$163&lt;A110))" into cell B110.</t>
  </si>
  <si>
    <t>Put "ü" into cell A111.</t>
  </si>
  <si>
    <t>Put formula "=SUMPRODUCT(--($A$1:$A$163&lt;A111))" into cell B111.</t>
  </si>
  <si>
    <t>Put "û" into cell A112.</t>
  </si>
  <si>
    <t>Put formula "=SUMPRODUCT(--($A$1:$A$163&lt;A112))" into cell B112.</t>
  </si>
  <si>
    <t>Put "ù" into cell A113.</t>
  </si>
  <si>
    <t>Put formula "=SUMPRODUCT(--($A$1:$A$163&lt;A113))" into cell B113.</t>
  </si>
  <si>
    <t>Put "ú" into cell A114.</t>
  </si>
  <si>
    <t>Put formula "=SUMPRODUCT(--($A$1:$A$163&lt;A114))" into cell B114.</t>
  </si>
  <si>
    <t>Put "æ" into cell A115.</t>
  </si>
  <si>
    <t>Put formula "=SUMPRODUCT(--($A$1:$A$163&lt;A115))" into cell B115.</t>
  </si>
  <si>
    <t>Put "œ" into cell A116.</t>
  </si>
  <si>
    <t>Put formula "=SUMPRODUCT(--($A$1:$A$163&lt;A116))" into cell B116.</t>
  </si>
  <si>
    <t>Put "ß" into cell A117.</t>
  </si>
  <si>
    <t>Put formula "=SUMPRODUCT(--($A$1:$A$163&lt;A117))" into cell B117.</t>
  </si>
  <si>
    <t>Put "ÿ" into cell A118.</t>
  </si>
  <si>
    <t>Put formula "=SUMPRODUCT(--($A$1:$A$163&lt;A118))" into cell B118.</t>
  </si>
  <si>
    <t>Put "ı" into cell A119.</t>
  </si>
  <si>
    <t>Put formula "=SUMPRODUCT(--($A$1:$A$163&lt;A119))" into cell B119.</t>
  </si>
  <si>
    <t>Put "İ" into cell A120.</t>
  </si>
  <si>
    <t>Put formula "=SUMPRODUCT(--($A$1:$A$163&lt;A120))" into cell B120.</t>
  </si>
  <si>
    <t>Put "×" into cell A121.</t>
  </si>
  <si>
    <t>Put formula "=SUMPRODUCT(--($A$1:$A$163&lt;A121))" into cell B121.</t>
  </si>
  <si>
    <t>Put "÷" into cell A122.</t>
  </si>
  <si>
    <t>Put formula "=SUMPRODUCT(--($A$1:$A$163&lt;A122))" into cell B122.</t>
  </si>
  <si>
    <t>Put "¿" into cell A123.</t>
  </si>
  <si>
    <t>Put formula "=SUMPRODUCT(--($A$1:$A$163&lt;A123))" into cell B123.</t>
  </si>
  <si>
    <t>Put "¡" into cell A124.</t>
  </si>
  <si>
    <t>Put formula "=SUMPRODUCT(--($A$1:$A$163&lt;A124))" into cell B124.</t>
  </si>
  <si>
    <t>Put "µ" into cell A125.</t>
  </si>
  <si>
    <t>Put formula "=SUMPRODUCT(--($A$1:$A$163&lt;A125))" into cell B125.</t>
  </si>
  <si>
    <t>Put "°" into cell A126.</t>
  </si>
  <si>
    <t>Put formula "=SUMPRODUCT(--($A$1:$A$163&lt;A126))" into cell B126.</t>
  </si>
  <si>
    <t>Put "€" into cell A127.</t>
  </si>
  <si>
    <t>Put formula "=SUMPRODUCT(--($A$1:$A$163&lt;A127))" into cell B127.</t>
  </si>
  <si>
    <t>Put "—" into cell A128.</t>
  </si>
  <si>
    <t>Put formula "=SUMPRODUCT(--($A$1:$A$163&lt;A128))" into cell B128.</t>
  </si>
  <si>
    <t>Put "’" into cell A129.</t>
  </si>
  <si>
    <t>Put formula "=SUMPRODUCT(--($A$1:$A$163&lt;A129))" into cell B129.</t>
  </si>
  <si>
    <t>Put " " into cell A130.</t>
  </si>
  <si>
    <t>Put formula "=SUMPRODUCT(--($A$1:$A$163&lt;A130))" into cell B130.</t>
  </si>
  <si>
    <t>Put "Ω" into cell A131.</t>
  </si>
  <si>
    <t>Put formula "=SUMPRODUCT(--($A$1:$A$163&lt;A131))" into cell B131.</t>
  </si>
  <si>
    <t>Put "α" into cell A132.</t>
  </si>
  <si>
    <t>Put formula "=SUMPRODUCT(--($A$1:$A$163&lt;A132))" into cell B132.</t>
  </si>
  <si>
    <t>Put "Ж" into cell A133.</t>
  </si>
  <si>
    <t>Put formula "=SUMPRODUCT(--($A$1:$A$163&lt;A133))" into cell B133.</t>
  </si>
  <si>
    <t>Put "日" into cell A134.</t>
  </si>
  <si>
    <t>Put formula "=SUMPRODUCT(--($A$1:$A$163&lt;A134))" into cell B134.</t>
  </si>
  <si>
    <t>Put "😀" into cell A135.</t>
  </si>
  <si>
    <t>Put formula "=SUMPRODUCT(--($A$1:$A$163&lt;A135))" into cell B135.</t>
  </si>
  <si>
    <t>Put "co-op" into cell A136.</t>
  </si>
  <si>
    <t>Put formula "=SUMPRODUCT(--($A$1:$A$163&lt;A136))" into cell B136.</t>
  </si>
  <si>
    <t>Put "coop" into cell A137.</t>
  </si>
  <si>
    <t>Put formula "=SUMPRODUCT(--($A$1:$A$163&lt;A137))" into cell B137.</t>
  </si>
  <si>
    <t>Put "co op" into cell A138.</t>
  </si>
  <si>
    <t>Put formula "=SUMPRODUCT(--($A$1:$A$163&lt;A138))" into cell B138.</t>
  </si>
  <si>
    <t>Put "coo" into cell A139.</t>
  </si>
  <si>
    <t>Put formula "=SUMPRODUCT(--($A$1:$A$163&lt;A139))" into cell B139.</t>
  </si>
  <si>
    <t>Put "cop" into cell A140.</t>
  </si>
  <si>
    <t>Put formula "=SUMPRODUCT(--($A$1:$A$163&lt;A140))" into cell B140.</t>
  </si>
  <si>
    <t>Put "a-" into cell A141.</t>
  </si>
  <si>
    <t>Put formula "=SUMPRODUCT(--($A$1:$A$163&lt;A141))" into cell B141.</t>
  </si>
  <si>
    <t>Put "-a" into cell A142.</t>
  </si>
  <si>
    <t>Put formula "=SUMPRODUCT(--($A$1:$A$163&lt;A142))" into cell B142.</t>
  </si>
  <si>
    <t>Put "ab" into cell A143.</t>
  </si>
  <si>
    <t>Put formula "=SUMPRODUCT(--($A$1:$A$163&lt;A143))" into cell B143.</t>
  </si>
  <si>
    <t>Put "a b" into cell A144.</t>
  </si>
  <si>
    <t>Put formula "=SUMPRODUCT(--($A$1:$A$163&lt;A144))" into cell B144.</t>
  </si>
  <si>
    <t>Put "a-b" into cell A145.</t>
  </si>
  <si>
    <t>Put formula "=SUMPRODUCT(--($A$1:$A$163&lt;A145))" into cell B145.</t>
  </si>
  <si>
    <t>Put "a'b" into cell A146.</t>
  </si>
  <si>
    <t>Put formula "=SUMPRODUCT(--($A$1:$A$163&lt;A146))" into cell B146.</t>
  </si>
  <si>
    <t>Put "résumé" into cell A147.</t>
  </si>
  <si>
    <t>Put formula "=SUMPRODUCT(--($A$1:$A$163&lt;A147))" into cell B147.</t>
  </si>
  <si>
    <t>Put "resume" into cell A148.</t>
  </si>
  <si>
    <t>Put formula "=SUMPRODUCT(--($A$1:$A$163&lt;A148))" into cell B148.</t>
  </si>
  <si>
    <t>Put "Résumé" into cell A149.</t>
  </si>
  <si>
    <t>Put formula "=SUMPRODUCT(--($A$1:$A$163&lt;A149))" into cell B149.</t>
  </si>
  <si>
    <t>Put "ss" into cell A150.</t>
  </si>
  <si>
    <t>Put formula "=SUMPRODUCT(--($A$1:$A$163&lt;A150))" into cell B150.</t>
  </si>
  <si>
    <t>Put "st" into cell A151.</t>
  </si>
  <si>
    <t>Put formula "=SUMPRODUCT(--($A$1:$A$163&lt;A151))" into cell B151.</t>
  </si>
  <si>
    <t>Put "ae" into cell A152.</t>
  </si>
  <si>
    <t>Put formula "=SUMPRODUCT(--($A$1:$A$163&lt;A152))" into cell B152.</t>
  </si>
  <si>
    <t>Put "af" into cell A153.</t>
  </si>
  <si>
    <t>Put formula "=SUMPRODUCT(--($A$1:$A$163&lt;A153))" into cell B153.</t>
  </si>
  <si>
    <t>Put "10" into cell A154.</t>
  </si>
  <si>
    <t>Put formula "=SUMPRODUCT(--($A$1:$A$163&lt;A154))" into cell B154.</t>
  </si>
  <si>
    <t>Put "2" into cell A155.</t>
  </si>
  <si>
    <t>Put formula "=SUMPRODUCT(--($A$1:$A$163&lt;A155))" into cell B155.</t>
  </si>
  <si>
    <t>Put "A1" into cell A156.</t>
  </si>
  <si>
    <t>Put formula "=SUMPRODUCT(--($A$1:$A$163&lt;A156))" into cell B156.</t>
  </si>
  <si>
    <t>Put "A10" into cell A157.</t>
  </si>
  <si>
    <t>Put formula "=SUMPRODUCT(--($A$1:$A$163&lt;A157))" into cell B157.</t>
  </si>
  <si>
    <t>Put "A2" into cell A158.</t>
  </si>
  <si>
    <t>Put formula "=SUMPRODUCT(--($A$1:$A$163&lt;A158))" into cell B158.</t>
  </si>
  <si>
    <t>Put "a1" into cell A159.</t>
  </si>
  <si>
    <t>Put formula "=SUMPRODUCT(--($A$1:$A$163&lt;A159))" into cell B159.</t>
  </si>
  <si>
    <t>Put "  " into cell A160.</t>
  </si>
  <si>
    <t>Put formula "=SUMPRODUCT(--($A$1:$A$163&lt;A160))" into cell B160.</t>
  </si>
  <si>
    <t>Put "aa" into cell A161.</t>
  </si>
  <si>
    <t>Put formula "=SUMPRODUCT(--($A$1:$A$163&lt;A161))" into cell B161.</t>
  </si>
  <si>
    <t>Put "aA" into cell A162.</t>
  </si>
  <si>
    <t>Put formula "=SUMPRODUCT(--($A$1:$A$163&lt;A162))" into cell B162.</t>
  </si>
  <si>
    <t>Put "Aa" into cell A163.</t>
  </si>
  <si>
    <t>Put formula "=SUMPRODUCT(--($A$1:$A$163&lt;A163))" into cell B163.</t>
  </si>
  <si>
    <t>Hello World</t>
  </si>
  <si>
    <t>x</t>
  </si>
  <si>
    <t>1,000</t>
  </si>
  <si>
    <t>-</t>
  </si>
  <si>
    <t xml:space="preserve">  lots   of   space  </t>
  </si>
  <si>
    <t>12abc</t>
  </si>
  <si>
    <t>+</t>
  </si>
  <si>
    <t>o'neil 2nd-place</t>
  </si>
  <si>
    <t>z</t>
  </si>
  <si>
    <t>50%</t>
  </si>
  <si>
    <t>Éclair ß</t>
  </si>
  <si>
    <t xml:space="preserve"> 7 </t>
  </si>
  <si>
    <t>😀ab</t>
  </si>
  <si>
    <t>abc</t>
  </si>
  <si>
    <t>a😀b</t>
  </si>
  <si>
    <t xml:space="preserve"> </t>
  </si>
  <si>
    <t>!</t>
  </si>
  <si>
    <t>"</t>
  </si>
  <si>
    <t>#</t>
  </si>
  <si>
    <t>$</t>
  </si>
  <si>
    <t>%</t>
  </si>
  <si>
    <t>&amp;</t>
  </si>
  <si>
    <t>'</t>
  </si>
  <si>
    <t>(</t>
  </si>
  <si>
    <t>)</t>
  </si>
  <si>
    <t>*</t>
  </si>
  <si>
    <t>,</t>
  </si>
  <si>
    <t>.</t>
  </si>
  <si>
    <t>/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</si>
  <si>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</si>
  <si>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</si>
  <si>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</si>
  <si>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</si>
  <si>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</si>
  <si>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</si>
  <si>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</si>
  <si>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</si>
  <si>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</si>
  <si>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</si>
  <si>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:</t>
  </si>
  <si>
    <t>;</t>
  </si>
  <si>
    <t>&lt;</t>
  </si>
  <si>
    <t>=</t>
  </si>
  <si>
    <t>&gt;</t>
  </si>
  <si>
    <t>?</t>
  </si>
  <si>
    <t>@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</si>
  <si>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</si>
  <si>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</si>
  <si>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</si>
  <si>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</si>
  <si>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</si>
  <si>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</si>
  <si>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</si>
  <si>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</si>
  <si>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</si>
  <si>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</si>
  <si>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</si>
  <si>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</si>
  <si>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</si>
  <si>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</si>
  <si>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</si>
  <si>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</si>
  <si>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</si>
  <si>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</si>
  <si>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</si>
  <si>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</si>
  <si>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</si>
  <si>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</si>
  <si>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</si>
  <si>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</si>
  <si>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</si>
  <si>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</si>
  <si>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[</t>
  </si>
  <si>
    <t>\</t>
  </si>
  <si>
    <t>]</t>
  </si>
  <si>
    <t>^</t>
  </si>
  <si>
    <t>_</t>
  </si>
  <si>
    <t>`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</si>
  <si>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</si>
  <si>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</si>
  <si>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</si>
  <si>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</si>
  <si>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</si>
  <si>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</si>
  <si>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</si>
  <si>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</si>
  <si>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</si>
  <si>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</si>
  <si>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</si>
  <si>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</si>
  <si>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</si>
  <si>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</si>
  <si>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</si>
  <si>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</si>
  <si>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</si>
  <si>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</si>
  <si>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</si>
  <si>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</si>
  <si>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</si>
  <si>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</si>
  <si>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</si>
  <si>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y</t>
  </si>
  <si>
    <t>{</t>
  </si>
  <si>
    <t>|</t>
  </si>
  <si>
    <t>}</t>
  </si>
  <si>
    <t>~</t>
  </si>
  <si>
    <t>é</t>
  </si>
  <si>
    <t>è</t>
  </si>
  <si>
    <t>ê</t>
  </si>
  <si>
    <t>ë</t>
  </si>
  <si>
    <t>à</t>
  </si>
  <si>
    <t>â</t>
  </si>
  <si>
    <t>ä</t>
  </si>
  <si>
    <t>å</t>
  </si>
  <si>
    <t>á</t>
  </si>
  <si>
    <t>ñ</t>
  </si>
  <si>
    <t>ç</t>
  </si>
  <si>
    <t>ö</t>
  </si>
  <si>
    <t>ô</t>
  </si>
  <si>
    <t>ò</t>
  </si>
  <si>
    <t>ø</t>
  </si>
  <si>
    <t>ü</t>
  </si>
  <si>
    <t>û</t>
  </si>
  <si>
    <t>ù</t>
  </si>
  <si>
    <t>ú</t>
  </si>
  <si>
    <t>æ</t>
  </si>
  <si>
    <t>œ</t>
  </si>
  <si>
    <t>ß</t>
  </si>
  <si>
    <t>ÿ</t>
  </si>
  <si>
    <t>ı</t>
  </si>
  <si>
    <t>İ</t>
  </si>
  <si>
    <t>×</t>
  </si>
  <si>
    <t>÷</t>
  </si>
  <si>
    <t>¿</t>
  </si>
  <si>
    <t>¡</t>
  </si>
  <si>
    <t>µ</t>
  </si>
  <si>
    <t>°</t>
  </si>
  <si>
    <t>€</t>
  </si>
  <si>
    <t>—</t>
  </si>
  <si>
    <t>’</t>
  </si>
  <si>
    <t> </t>
  </si>
  <si>
    <t>Ω</t>
  </si>
  <si>
    <t>α</t>
  </si>
  <si>
    <t>Ж</t>
  </si>
  <si>
    <t>日</t>
  </si>
  <si>
    <t>😀</t>
  </si>
  <si>
    <t>co-op</t>
  </si>
  <si>
    <t>coop</t>
  </si>
  <si>
    <t>co op</t>
  </si>
  <si>
    <t>coo</t>
  </si>
  <si>
    <t>cop</t>
  </si>
  <si>
    <t>a-</t>
  </si>
  <si>
    <t>-a</t>
  </si>
  <si>
    <t>ab</t>
  </si>
  <si>
    <t>a b</t>
  </si>
  <si>
    <t>a-b</t>
  </si>
  <si>
    <t>a'b</t>
  </si>
  <si>
    <t>résumé</t>
  </si>
  <si>
    <t>resume</t>
  </si>
  <si>
    <t>Résumé</t>
  </si>
  <si>
    <t>ss</t>
  </si>
  <si>
    <t>st</t>
  </si>
  <si>
    <t>ae</t>
  </si>
  <si>
    <t>af</t>
  </si>
  <si>
    <t>10</t>
  </si>
  <si>
    <t>A1</t>
  </si>
  <si>
    <t>A10</t>
  </si>
  <si>
    <t>A2</t>
  </si>
  <si>
    <t>a1</t>
  </si>
  <si>
    <t xml:space="preserve">  </t>
  </si>
  <si>
    <t>aa</t>
  </si>
  <si>
    <t>aA</t>
  </si>
  <si>
    <t>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</si>
</sst>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7F4F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DEB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2" borderId="0" xfId="0" applyNumberFormat="1" applyFill="1"/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0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microsoft.com/office/2017/06/relationships/rdRichValue" Target="richData/rdrichvalu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605</v>
    <v>9</v>
  </rv>
</rvData>
</file>

<file path=xl/richData/rdrichvaluestructure.xml><?xml version="1.0" encoding="utf-8"?>
<rvStructures xmlns="http://schemas.microsoft.com/office/spreadsheetml/2017/richdata" count="1">
  <s t="_error">
    <k n="errorType" t="i"/>
    <k n="iftab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550"/>
  <sheetViews>
    <sheetView showGridLines="0" topLeftCell="B1" workbookViewId="0">
      <selection activeCell="B1" sqref="B1"/>
    </sheetView>
  </sheetViews>
  <sheetFormatPr defaultRowHeight="14.5" x14ac:dyDescent="0.35"/>
  <cols>
    <col min="1" max="1" width="0" hidden="1" customWidth="1"/>
    <col min="2" max="2" width="72.7265625" style="1" customWidth="1"/>
    <col min="3" max="3" width="60.7265625" style="2" customWidth="1"/>
  </cols>
  <sheetData>
    <row r="1" spans="2:3" x14ac:dyDescent="0.35">
      <c r="B1" s="1" t="s">
        <v>0</v>
      </c>
      <c r="C1" s="3" t="s">
        <v>1</v>
      </c>
    </row>
    <row r="2" spans="2:3" x14ac:dyDescent="0.35">
      <c r="B2" s="1" t="s">
        <v>2</v>
      </c>
      <c r="C2" s="3" t="s">
        <v>1</v>
      </c>
    </row>
    <row r="3" spans="2:3" x14ac:dyDescent="0.35">
      <c r="B3" s="1" t="s">
        <v>3</v>
      </c>
      <c r="C3" s="3" t="s">
        <v>1</v>
      </c>
    </row>
    <row r="4" spans="2:3" x14ac:dyDescent="0.35">
      <c r="B4" s="1" t="s">
        <v>4</v>
      </c>
      <c r="C4" s="3" t="s">
        <v>1</v>
      </c>
    </row>
    <row r="5" spans="2:3" x14ac:dyDescent="0.35">
      <c r="B5" s="1" t="s">
        <v>5</v>
      </c>
      <c r="C5" s="3" t="s">
        <v>1</v>
      </c>
    </row>
    <row r="6" spans="2:3" x14ac:dyDescent="0.35">
      <c r="B6" s="1" t="s">
        <v>6</v>
      </c>
      <c r="C6" s="3" t="s">
        <v>1</v>
      </c>
    </row>
    <row r="7" spans="2:3" x14ac:dyDescent="0.35">
      <c r="B7" s="1" t="s">
        <v>7</v>
      </c>
      <c r="C7" s="3" t="s">
        <v>1</v>
      </c>
    </row>
    <row r="8" spans="2:3" x14ac:dyDescent="0.35">
      <c r="B8" s="1" t="s">
        <v>8</v>
      </c>
      <c r="C8" s="3" t="s">
        <v>1</v>
      </c>
    </row>
    <row r="10" spans="2:3" x14ac:dyDescent="0.35">
      <c r="B10" s="1" t="s">
        <v>9</v>
      </c>
      <c r="C10" s="3" t="s">
        <v>1</v>
      </c>
    </row>
    <row r="11" spans="2:3" x14ac:dyDescent="0.35">
      <c r="B11" s="1" t="s">
        <v>10</v>
      </c>
      <c r="C11" s="3" t="s">
        <v>1</v>
      </c>
    </row>
    <row r="12" spans="2:3" x14ac:dyDescent="0.35">
      <c r="B12" s="1" t="s">
        <v>11</v>
      </c>
      <c r="C12" s="3" t="s">
        <v>1</v>
      </c>
    </row>
    <row r="13" spans="2:3" x14ac:dyDescent="0.35">
      <c r="B13" s="1" t="s">
        <v>12</v>
      </c>
      <c r="C13" s="3" t="s">
        <v>1</v>
      </c>
    </row>
    <row r="14" spans="2:3" x14ac:dyDescent="0.35">
      <c r="B14" s="1" t="s">
        <v>13</v>
      </c>
      <c r="C14" s="3" t="s">
        <v>1</v>
      </c>
    </row>
    <row r="15" spans="2:3" x14ac:dyDescent="0.35">
      <c r="B15" s="1" t="s">
        <v>14</v>
      </c>
      <c r="C15" s="3" t="s">
        <v>1</v>
      </c>
    </row>
    <row r="16" spans="2:3" x14ac:dyDescent="0.35">
      <c r="B16" s="1" t="s">
        <v>15</v>
      </c>
      <c r="C16" s="3" t="s">
        <v>1</v>
      </c>
    </row>
    <row r="17" spans="2:3" x14ac:dyDescent="0.35">
      <c r="B17" s="1" t="s">
        <v>16</v>
      </c>
      <c r="C17" s="3" t="s">
        <v>1</v>
      </c>
    </row>
    <row r="18" spans="2:3" x14ac:dyDescent="0.35">
      <c r="B18" s="1" t="s">
        <v>17</v>
      </c>
      <c r="C18" s="3" t="s">
        <v>1</v>
      </c>
    </row>
    <row r="19" spans="2:3" x14ac:dyDescent="0.35">
      <c r="B19" s="1" t="s">
        <v>18</v>
      </c>
      <c r="C19" s="3" t="s">
        <v>1</v>
      </c>
    </row>
    <row r="20" spans="2:3" x14ac:dyDescent="0.35">
      <c r="B20" s="1" t="s">
        <v>19</v>
      </c>
      <c r="C20" s="3" t="s">
        <v>1</v>
      </c>
    </row>
    <row r="21" spans="2:3" x14ac:dyDescent="0.35">
      <c r="B21" s="1" t="s">
        <v>20</v>
      </c>
      <c r="C21" s="3" t="s">
        <v>1</v>
      </c>
    </row>
    <row r="22" spans="2:3" x14ac:dyDescent="0.35">
      <c r="B22" s="1" t="s">
        <v>21</v>
      </c>
      <c r="C22" s="3" t="s">
        <v>1</v>
      </c>
    </row>
    <row r="23" spans="2:3" x14ac:dyDescent="0.35">
      <c r="B23" s="1" t="s">
        <v>22</v>
      </c>
      <c r="C23" s="3" t="s">
        <v>1</v>
      </c>
    </row>
    <row r="24" spans="2:3" x14ac:dyDescent="0.35">
      <c r="B24" s="1" t="s">
        <v>23</v>
      </c>
      <c r="C24" s="3" t="s">
        <v>1</v>
      </c>
    </row>
    <row r="25" spans="2:3" x14ac:dyDescent="0.35">
      <c r="B25" s="1" t="s">
        <v>24</v>
      </c>
      <c r="C25" s="3" t="s">
        <v>1</v>
      </c>
    </row>
    <row r="26" spans="2:3" x14ac:dyDescent="0.35">
      <c r="B26" s="1" t="s">
        <v>25</v>
      </c>
      <c r="C26" s="3" t="s">
        <v>1</v>
      </c>
    </row>
    <row r="27" spans="2:3" x14ac:dyDescent="0.35">
      <c r="B27" s="1" t="s">
        <v>26</v>
      </c>
      <c r="C27" s="3" t="s">
        <v>1</v>
      </c>
    </row>
    <row r="28" spans="2:3" x14ac:dyDescent="0.35">
      <c r="B28" s="1" t="s">
        <v>27</v>
      </c>
      <c r="C28" s="3" t="s">
        <v>1</v>
      </c>
    </row>
    <row r="30" spans="2:3" x14ac:dyDescent="0.35">
      <c r="B30" s="1" t="s">
        <v>28</v>
      </c>
      <c r="C30" s="3" t="s">
        <v>1</v>
      </c>
    </row>
    <row r="31" spans="2:3" x14ac:dyDescent="0.35">
      <c r="B31" s="1" t="s">
        <v>29</v>
      </c>
      <c r="C31" s="3" t="s">
        <v>1</v>
      </c>
    </row>
    <row r="32" spans="2:3" x14ac:dyDescent="0.35">
      <c r="B32" s="1" t="s">
        <v>30</v>
      </c>
      <c r="C32" s="3" t="s">
        <v>1</v>
      </c>
    </row>
    <row r="33" spans="2:3" x14ac:dyDescent="0.35">
      <c r="B33" s="1" t="s">
        <v>31</v>
      </c>
      <c r="C33" s="3" t="s">
        <v>1</v>
      </c>
    </row>
    <row r="34" spans="2:3" x14ac:dyDescent="0.35">
      <c r="B34" s="1" t="s">
        <v>32</v>
      </c>
      <c r="C34" s="3" t="s">
        <v>1</v>
      </c>
    </row>
    <row r="35" spans="2:3" x14ac:dyDescent="0.35">
      <c r="B35" s="1" t="s">
        <v>33</v>
      </c>
      <c r="C35" s="3" t="s">
        <v>1</v>
      </c>
    </row>
    <row r="36" spans="2:3" x14ac:dyDescent="0.35">
      <c r="B36" s="1" t="s">
        <v>34</v>
      </c>
      <c r="C36" s="3" t="s">
        <v>1</v>
      </c>
    </row>
    <row r="37" spans="2:3" x14ac:dyDescent="0.35">
      <c r="B37" s="1" t="s">
        <v>35</v>
      </c>
      <c r="C37" s="3" t="s">
        <v>1</v>
      </c>
    </row>
    <row r="38" spans="2:3" x14ac:dyDescent="0.35">
      <c r="B38" s="1" t="s">
        <v>36</v>
      </c>
      <c r="C38" s="3" t="s">
        <v>1</v>
      </c>
    </row>
    <row r="39" spans="2:3" x14ac:dyDescent="0.35">
      <c r="B39" s="1" t="s">
        <v>37</v>
      </c>
      <c r="C39" s="3" t="s">
        <v>1</v>
      </c>
    </row>
    <row r="40" spans="2:3" x14ac:dyDescent="0.35">
      <c r="B40" s="1" t="s">
        <v>38</v>
      </c>
      <c r="C40" s="3" t="s">
        <v>1</v>
      </c>
    </row>
    <row r="41" spans="2:3" x14ac:dyDescent="0.35">
      <c r="B41" s="1" t="s">
        <v>39</v>
      </c>
      <c r="C41" s="3" t="s">
        <v>1</v>
      </c>
    </row>
    <row r="42" spans="2:3" x14ac:dyDescent="0.35">
      <c r="B42" s="1" t="s">
        <v>40</v>
      </c>
      <c r="C42" s="3" t="s">
        <v>1</v>
      </c>
    </row>
    <row r="43" spans="2:3" x14ac:dyDescent="0.35">
      <c r="B43" s="1" t="s">
        <v>41</v>
      </c>
      <c r="C43" s="3" t="s">
        <v>1</v>
      </c>
    </row>
    <row r="44" spans="2:3" x14ac:dyDescent="0.35">
      <c r="B44" s="1" t="s">
        <v>42</v>
      </c>
      <c r="C44" s="3" t="s">
        <v>1</v>
      </c>
    </row>
    <row r="45" spans="2:3" x14ac:dyDescent="0.35">
      <c r="B45" s="1" t="s">
        <v>43</v>
      </c>
      <c r="C45" s="3" t="s">
        <v>1</v>
      </c>
    </row>
    <row r="46" spans="2:3" x14ac:dyDescent="0.35">
      <c r="B46" s="1" t="s">
        <v>44</v>
      </c>
      <c r="C46" s="3" t="s">
        <v>1</v>
      </c>
    </row>
    <row r="47" spans="2:3" x14ac:dyDescent="0.35">
      <c r="B47" s="1" t="s">
        <v>45</v>
      </c>
      <c r="C47" s="3" t="s">
        <v>1</v>
      </c>
    </row>
    <row r="48" spans="2:3" x14ac:dyDescent="0.35">
      <c r="B48" s="1" t="s">
        <v>46</v>
      </c>
      <c r="C48" s="3" t="s">
        <v>1</v>
      </c>
    </row>
    <row r="49" spans="2:3" x14ac:dyDescent="0.35">
      <c r="B49" s="1" t="s">
        <v>47</v>
      </c>
      <c r="C49" s="3" t="s">
        <v>1</v>
      </c>
    </row>
    <row r="50" spans="2:3" x14ac:dyDescent="0.35">
      <c r="B50" s="1" t="s">
        <v>48</v>
      </c>
      <c r="C50" s="3" t="s">
        <v>1</v>
      </c>
    </row>
    <row r="51" spans="2:3" x14ac:dyDescent="0.35">
      <c r="B51" s="1" t="s">
        <v>49</v>
      </c>
      <c r="C51" s="3" t="s">
        <v>1</v>
      </c>
    </row>
    <row r="52" spans="2:3" x14ac:dyDescent="0.35">
      <c r="B52" s="1" t="s">
        <v>50</v>
      </c>
      <c r="C52" s="3" t="s">
        <v>1</v>
      </c>
    </row>
    <row r="53" spans="2:3" x14ac:dyDescent="0.35">
      <c r="B53" s="1" t="s">
        <v>51</v>
      </c>
      <c r="C53" s="3" t="s">
        <v>1</v>
      </c>
    </row>
    <row r="54" spans="2:3" x14ac:dyDescent="0.35">
      <c r="B54" s="1" t="s">
        <v>52</v>
      </c>
      <c r="C54" s="3" t="s">
        <v>1</v>
      </c>
    </row>
    <row r="55" spans="2:3" x14ac:dyDescent="0.35">
      <c r="B55" s="1" t="s">
        <v>53</v>
      </c>
      <c r="C55" s="3" t="s">
        <v>1</v>
      </c>
    </row>
    <row r="56" spans="2:3" x14ac:dyDescent="0.35">
      <c r="B56" s="1" t="s">
        <v>54</v>
      </c>
      <c r="C56" s="3" t="s">
        <v>1</v>
      </c>
    </row>
    <row r="57" spans="2:3" x14ac:dyDescent="0.35">
      <c r="B57" s="1" t="s">
        <v>55</v>
      </c>
      <c r="C57" s="3" t="s">
        <v>1</v>
      </c>
    </row>
    <row r="58" spans="2:3" x14ac:dyDescent="0.35">
      <c r="B58" s="1" t="s">
        <v>56</v>
      </c>
      <c r="C58" s="3" t="s">
        <v>1</v>
      </c>
    </row>
    <row r="59" spans="2:3" x14ac:dyDescent="0.35">
      <c r="B59" s="1" t="s">
        <v>57</v>
      </c>
      <c r="C59" s="3" t="s">
        <v>1</v>
      </c>
    </row>
    <row r="60" spans="2:3" x14ac:dyDescent="0.35">
      <c r="B60" s="1" t="s">
        <v>58</v>
      </c>
      <c r="C60" s="3" t="s">
        <v>1</v>
      </c>
    </row>
    <row r="61" spans="2:3" x14ac:dyDescent="0.35">
      <c r="B61" s="1" t="s">
        <v>59</v>
      </c>
      <c r="C61" s="3" t="s">
        <v>1</v>
      </c>
    </row>
    <row r="62" spans="2:3" x14ac:dyDescent="0.35">
      <c r="B62" s="1" t="s">
        <v>60</v>
      </c>
      <c r="C62" s="3" t="s">
        <v>1</v>
      </c>
    </row>
    <row r="63" spans="2:3" x14ac:dyDescent="0.35">
      <c r="B63" s="1" t="s">
        <v>61</v>
      </c>
      <c r="C63" s="3" t="s">
        <v>1</v>
      </c>
    </row>
    <row r="64" spans="2:3" x14ac:dyDescent="0.35">
      <c r="B64" s="1" t="s">
        <v>62</v>
      </c>
      <c r="C64" s="3" t="s">
        <v>1</v>
      </c>
    </row>
    <row r="65" spans="2:3" x14ac:dyDescent="0.35">
      <c r="B65" s="1" t="s">
        <v>63</v>
      </c>
      <c r="C65" s="3" t="s">
        <v>1</v>
      </c>
    </row>
    <row r="66" spans="2:3" x14ac:dyDescent="0.35">
      <c r="B66" s="1" t="s">
        <v>64</v>
      </c>
      <c r="C66" s="3" t="s">
        <v>1</v>
      </c>
    </row>
    <row r="67" spans="2:3" x14ac:dyDescent="0.35">
      <c r="B67" s="1" t="s">
        <v>65</v>
      </c>
      <c r="C67" s="3" t="s">
        <v>1</v>
      </c>
    </row>
    <row r="68" spans="2:3" x14ac:dyDescent="0.35">
      <c r="B68" s="1" t="s">
        <v>66</v>
      </c>
      <c r="C68" s="3" t="s">
        <v>1</v>
      </c>
    </row>
    <row r="69" spans="2:3" x14ac:dyDescent="0.35">
      <c r="B69" s="1" t="s">
        <v>67</v>
      </c>
      <c r="C69" s="3" t="s">
        <v>1</v>
      </c>
    </row>
    <row r="70" spans="2:3" x14ac:dyDescent="0.35">
      <c r="B70" s="1" t="s">
        <v>68</v>
      </c>
      <c r="C70" s="3" t="s">
        <v>1</v>
      </c>
    </row>
    <row r="71" spans="2:3" x14ac:dyDescent="0.35">
      <c r="B71" s="1" t="s">
        <v>69</v>
      </c>
      <c r="C71" s="3" t="s">
        <v>1</v>
      </c>
    </row>
    <row r="72" spans="2:3" x14ac:dyDescent="0.35">
      <c r="B72" s="1" t="s">
        <v>70</v>
      </c>
      <c r="C72" s="3" t="s">
        <v>1</v>
      </c>
    </row>
    <row r="73" spans="2:3" x14ac:dyDescent="0.35">
      <c r="B73" s="1" t="s">
        <v>71</v>
      </c>
      <c r="C73" s="3" t="s">
        <v>1</v>
      </c>
    </row>
    <row r="74" spans="2:3" x14ac:dyDescent="0.35">
      <c r="B74" s="1" t="s">
        <v>72</v>
      </c>
      <c r="C74" s="3" t="s">
        <v>1</v>
      </c>
    </row>
    <row r="75" spans="2:3" x14ac:dyDescent="0.35">
      <c r="B75" s="1" t="s">
        <v>73</v>
      </c>
      <c r="C75" s="3" t="s">
        <v>1</v>
      </c>
    </row>
    <row r="76" spans="2:3" x14ac:dyDescent="0.35">
      <c r="B76" s="1" t="s">
        <v>74</v>
      </c>
      <c r="C76" s="3" t="s">
        <v>1</v>
      </c>
    </row>
    <row r="77" spans="2:3" x14ac:dyDescent="0.35">
      <c r="B77" s="1" t="s">
        <v>75</v>
      </c>
      <c r="C77" s="3" t="s">
        <v>1</v>
      </c>
    </row>
    <row r="78" spans="2:3" x14ac:dyDescent="0.35">
      <c r="B78" s="1" t="s">
        <v>76</v>
      </c>
      <c r="C78" s="3" t="s">
        <v>1</v>
      </c>
    </row>
    <row r="79" spans="2:3" x14ac:dyDescent="0.35">
      <c r="B79" s="1" t="s">
        <v>77</v>
      </c>
      <c r="C79" s="3" t="s">
        <v>1</v>
      </c>
    </row>
    <row r="80" spans="2:3" x14ac:dyDescent="0.35">
      <c r="B80" s="1" t="s">
        <v>78</v>
      </c>
      <c r="C80" s="3" t="s">
        <v>1</v>
      </c>
    </row>
    <row r="81" spans="2:3" x14ac:dyDescent="0.35">
      <c r="B81" s="1" t="s">
        <v>79</v>
      </c>
      <c r="C81" s="3" t="s">
        <v>1</v>
      </c>
    </row>
    <row r="82" spans="2:3" x14ac:dyDescent="0.35">
      <c r="B82" s="1" t="s">
        <v>80</v>
      </c>
      <c r="C82" s="3" t="s">
        <v>1</v>
      </c>
    </row>
    <row r="83" spans="2:3" x14ac:dyDescent="0.35">
      <c r="B83" s="1" t="s">
        <v>81</v>
      </c>
      <c r="C83" s="3" t="s">
        <v>1</v>
      </c>
    </row>
    <row r="84" spans="2:3" x14ac:dyDescent="0.35">
      <c r="B84" s="1" t="s">
        <v>82</v>
      </c>
      <c r="C84" s="3" t="s">
        <v>1</v>
      </c>
    </row>
    <row r="85" spans="2:3" x14ac:dyDescent="0.35">
      <c r="B85" s="1" t="s">
        <v>83</v>
      </c>
      <c r="C85" s="3" t="s">
        <v>1</v>
      </c>
    </row>
    <row r="86" spans="2:3" x14ac:dyDescent="0.35">
      <c r="B86" s="1" t="s">
        <v>84</v>
      </c>
      <c r="C86" s="3" t="s">
        <v>1</v>
      </c>
    </row>
    <row r="87" spans="2:3" x14ac:dyDescent="0.35">
      <c r="B87" s="1" t="s">
        <v>85</v>
      </c>
      <c r="C87" s="3" t="s">
        <v>1</v>
      </c>
    </row>
    <row r="88" spans="2:3" x14ac:dyDescent="0.35">
      <c r="B88" s="1" t="s">
        <v>86</v>
      </c>
      <c r="C88" s="3" t="s">
        <v>1</v>
      </c>
    </row>
    <row r="89" spans="2:3" x14ac:dyDescent="0.35">
      <c r="B89" s="1" t="s">
        <v>87</v>
      </c>
      <c r="C89" s="3" t="s">
        <v>1</v>
      </c>
    </row>
    <row r="90" spans="2:3" x14ac:dyDescent="0.35">
      <c r="B90" s="1" t="s">
        <v>88</v>
      </c>
      <c r="C90" s="3" t="s">
        <v>1</v>
      </c>
    </row>
    <row r="91" spans="2:3" x14ac:dyDescent="0.35">
      <c r="B91" s="1" t="s">
        <v>89</v>
      </c>
      <c r="C91" s="3" t="s">
        <v>1</v>
      </c>
    </row>
    <row r="92" spans="2:3" x14ac:dyDescent="0.35">
      <c r="B92" s="1" t="s">
        <v>90</v>
      </c>
      <c r="C92" s="3" t="s">
        <v>1</v>
      </c>
    </row>
    <row r="93" spans="2:3" x14ac:dyDescent="0.35">
      <c r="B93" s="1" t="s">
        <v>91</v>
      </c>
      <c r="C93" s="3" t="s">
        <v>1</v>
      </c>
    </row>
    <row r="94" spans="2:3" x14ac:dyDescent="0.35">
      <c r="B94" s="1" t="s">
        <v>92</v>
      </c>
      <c r="C94" s="3" t="s">
        <v>1</v>
      </c>
    </row>
    <row r="95" spans="2:3" x14ac:dyDescent="0.35">
      <c r="B95" s="1" t="s">
        <v>93</v>
      </c>
      <c r="C95" s="3" t="s">
        <v>1</v>
      </c>
    </row>
    <row r="96" spans="2:3" x14ac:dyDescent="0.35">
      <c r="B96" s="1" t="s">
        <v>94</v>
      </c>
      <c r="C96" s="3" t="s">
        <v>1</v>
      </c>
    </row>
    <row r="97" spans="2:3" x14ac:dyDescent="0.35">
      <c r="B97" s="1" t="s">
        <v>95</v>
      </c>
      <c r="C97" s="3" t="s">
        <v>1</v>
      </c>
    </row>
    <row r="98" spans="2:3" x14ac:dyDescent="0.35">
      <c r="B98" s="1" t="s">
        <v>96</v>
      </c>
      <c r="C98" s="3" t="s">
        <v>1</v>
      </c>
    </row>
    <row r="99" spans="2:3" x14ac:dyDescent="0.35">
      <c r="B99" s="1" t="s">
        <v>97</v>
      </c>
      <c r="C99" s="3" t="s">
        <v>1</v>
      </c>
    </row>
    <row r="100" spans="2:3" x14ac:dyDescent="0.35">
      <c r="B100" s="1" t="s">
        <v>98</v>
      </c>
      <c r="C100" s="3" t="s">
        <v>1</v>
      </c>
    </row>
    <row r="101" spans="2:3" x14ac:dyDescent="0.35">
      <c r="B101" s="1" t="s">
        <v>99</v>
      </c>
      <c r="C101" s="3" t="s">
        <v>1</v>
      </c>
    </row>
    <row r="102" spans="2:3" x14ac:dyDescent="0.35">
      <c r="B102" s="1" t="s">
        <v>100</v>
      </c>
      <c r="C102" s="3" t="s">
        <v>1</v>
      </c>
    </row>
    <row r="103" spans="2:3" x14ac:dyDescent="0.35">
      <c r="B103" s="1" t="s">
        <v>101</v>
      </c>
      <c r="C103" s="3" t="s">
        <v>1</v>
      </c>
    </row>
    <row r="104" spans="2:3" x14ac:dyDescent="0.35">
      <c r="B104" s="1" t="s">
        <v>102</v>
      </c>
      <c r="C104" s="3" t="s">
        <v>1</v>
      </c>
    </row>
    <row r="105" spans="2:3" x14ac:dyDescent="0.35">
      <c r="B105" s="1" t="s">
        <v>103</v>
      </c>
      <c r="C105" s="3" t="s">
        <v>1</v>
      </c>
    </row>
    <row r="106" spans="2:3" x14ac:dyDescent="0.35">
      <c r="B106" s="1" t="s">
        <v>104</v>
      </c>
      <c r="C106" s="3" t="s">
        <v>1</v>
      </c>
    </row>
    <row r="107" spans="2:3" x14ac:dyDescent="0.35">
      <c r="B107" s="1" t="s">
        <v>105</v>
      </c>
      <c r="C107" s="3" t="s">
        <v>1</v>
      </c>
    </row>
    <row r="108" spans="2:3" x14ac:dyDescent="0.35">
      <c r="B108" s="1" t="s">
        <v>106</v>
      </c>
      <c r="C108" s="3" t="s">
        <v>1</v>
      </c>
    </row>
    <row r="109" spans="2:3" x14ac:dyDescent="0.35">
      <c r="B109" s="1" t="s">
        <v>107</v>
      </c>
      <c r="C109" s="3" t="s">
        <v>1</v>
      </c>
    </row>
    <row r="110" spans="2:3" x14ac:dyDescent="0.35">
      <c r="B110" s="1" t="s">
        <v>108</v>
      </c>
      <c r="C110" s="3" t="s">
        <v>1</v>
      </c>
    </row>
    <row r="111" spans="2:3" x14ac:dyDescent="0.35">
      <c r="B111" s="1" t="s">
        <v>109</v>
      </c>
      <c r="C111" s="3" t="s">
        <v>1</v>
      </c>
    </row>
    <row r="112" spans="2:3" x14ac:dyDescent="0.35">
      <c r="B112" s="1" t="s">
        <v>110</v>
      </c>
      <c r="C112" s="3" t="s">
        <v>1</v>
      </c>
    </row>
    <row r="113" spans="2:3" x14ac:dyDescent="0.35">
      <c r="B113" s="1" t="s">
        <v>111</v>
      </c>
      <c r="C113" s="3" t="s">
        <v>1</v>
      </c>
    </row>
    <row r="114" spans="2:3" x14ac:dyDescent="0.35">
      <c r="B114" s="1" t="s">
        <v>112</v>
      </c>
      <c r="C114" s="3" t="s">
        <v>1</v>
      </c>
    </row>
    <row r="115" spans="2:3" x14ac:dyDescent="0.35">
      <c r="B115" s="1" t="s">
        <v>113</v>
      </c>
      <c r="C115" s="3" t="s">
        <v>1</v>
      </c>
    </row>
    <row r="116" spans="2:3" x14ac:dyDescent="0.35">
      <c r="B116" s="1" t="s">
        <v>114</v>
      </c>
      <c r="C116" s="3" t="s">
        <v>1</v>
      </c>
    </row>
    <row r="117" spans="2:3" x14ac:dyDescent="0.35">
      <c r="B117" s="1" t="s">
        <v>115</v>
      </c>
      <c r="C117" s="3" t="s">
        <v>1</v>
      </c>
    </row>
    <row r="118" spans="2:3" x14ac:dyDescent="0.35">
      <c r="B118" s="1" t="s">
        <v>116</v>
      </c>
      <c r="C118" s="3" t="s">
        <v>1</v>
      </c>
    </row>
    <row r="119" spans="2:3" x14ac:dyDescent="0.35">
      <c r="B119" s="1" t="s">
        <v>117</v>
      </c>
      <c r="C119" s="3" t="s">
        <v>1</v>
      </c>
    </row>
    <row r="120" spans="2:3" x14ac:dyDescent="0.35">
      <c r="B120" s="1" t="s">
        <v>118</v>
      </c>
      <c r="C120" s="3" t="s">
        <v>1</v>
      </c>
    </row>
    <row r="121" spans="2:3" x14ac:dyDescent="0.35">
      <c r="B121" s="1" t="s">
        <v>119</v>
      </c>
      <c r="C121" s="3" t="s">
        <v>1</v>
      </c>
    </row>
    <row r="122" spans="2:3" x14ac:dyDescent="0.35">
      <c r="B122" s="1" t="s">
        <v>120</v>
      </c>
      <c r="C122" s="3" t="s">
        <v>1</v>
      </c>
    </row>
    <row r="123" spans="2:3" x14ac:dyDescent="0.35">
      <c r="B123" s="1" t="s">
        <v>121</v>
      </c>
      <c r="C123" s="3" t="s">
        <v>1</v>
      </c>
    </row>
    <row r="124" spans="2:3" x14ac:dyDescent="0.35">
      <c r="B124" s="1" t="s">
        <v>122</v>
      </c>
      <c r="C124" s="3" t="s">
        <v>1</v>
      </c>
    </row>
    <row r="125" spans="2:3" x14ac:dyDescent="0.35">
      <c r="B125" s="1" t="s">
        <v>123</v>
      </c>
      <c r="C125" s="3" t="s">
        <v>1</v>
      </c>
    </row>
    <row r="126" spans="2:3" x14ac:dyDescent="0.35">
      <c r="B126" s="1" t="s">
        <v>124</v>
      </c>
      <c r="C126" s="3" t="s">
        <v>1</v>
      </c>
    </row>
    <row r="127" spans="2:3" x14ac:dyDescent="0.35">
      <c r="B127" s="1" t="s">
        <v>125</v>
      </c>
      <c r="C127" s="3" t="s">
        <v>1</v>
      </c>
    </row>
    <row r="128" spans="2:3" x14ac:dyDescent="0.35">
      <c r="B128" s="1" t="s">
        <v>126</v>
      </c>
      <c r="C128" s="3" t="s">
        <v>1</v>
      </c>
    </row>
    <row r="129" spans="2:3" x14ac:dyDescent="0.35">
      <c r="B129" s="1" t="s">
        <v>127</v>
      </c>
      <c r="C129" s="3" t="s">
        <v>1</v>
      </c>
    </row>
    <row r="130" spans="2:3" x14ac:dyDescent="0.35">
      <c r="B130" s="1" t="s">
        <v>128</v>
      </c>
      <c r="C130" s="3" t="s">
        <v>1</v>
      </c>
    </row>
    <row r="131" spans="2:3" x14ac:dyDescent="0.35">
      <c r="B131" s="1" t="s">
        <v>129</v>
      </c>
      <c r="C131" s="3" t="s">
        <v>1</v>
      </c>
    </row>
    <row r="132" spans="2:3" x14ac:dyDescent="0.35">
      <c r="B132" s="1" t="s">
        <v>130</v>
      </c>
      <c r="C132" s="3" t="s">
        <v>1</v>
      </c>
    </row>
    <row r="133" spans="2:3" x14ac:dyDescent="0.35">
      <c r="B133" s="1" t="s">
        <v>131</v>
      </c>
      <c r="C133" s="3" t="s">
        <v>1</v>
      </c>
    </row>
    <row r="134" spans="2:3" x14ac:dyDescent="0.35">
      <c r="B134" s="1" t="s">
        <v>132</v>
      </c>
      <c r="C134" s="3" t="s">
        <v>1</v>
      </c>
    </row>
    <row r="135" spans="2:3" x14ac:dyDescent="0.35">
      <c r="B135" s="1" t="s">
        <v>133</v>
      </c>
      <c r="C135" s="3" t="s">
        <v>1</v>
      </c>
    </row>
    <row r="136" spans="2:3" x14ac:dyDescent="0.35">
      <c r="B136" s="1" t="s">
        <v>134</v>
      </c>
      <c r="C136" s="3" t="s">
        <v>1</v>
      </c>
    </row>
    <row r="137" spans="2:3" x14ac:dyDescent="0.35">
      <c r="B137" s="1" t="s">
        <v>135</v>
      </c>
      <c r="C137" s="3" t="s">
        <v>1</v>
      </c>
    </row>
    <row r="138" spans="2:3" x14ac:dyDescent="0.35">
      <c r="B138" s="1" t="s">
        <v>136</v>
      </c>
      <c r="C138" s="3" t="s">
        <v>1</v>
      </c>
    </row>
    <row r="139" spans="2:3" x14ac:dyDescent="0.35">
      <c r="B139" s="1" t="s">
        <v>137</v>
      </c>
      <c r="C139" s="3" t="s">
        <v>1</v>
      </c>
    </row>
    <row r="140" spans="2:3" x14ac:dyDescent="0.35">
      <c r="B140" s="1" t="s">
        <v>138</v>
      </c>
      <c r="C140" s="3" t="s">
        <v>1</v>
      </c>
    </row>
    <row r="141" spans="2:3" x14ac:dyDescent="0.35">
      <c r="B141" s="1" t="s">
        <v>139</v>
      </c>
      <c r="C141" s="3" t="s">
        <v>1</v>
      </c>
    </row>
    <row r="142" spans="2:3" x14ac:dyDescent="0.35">
      <c r="B142" s="1" t="s">
        <v>140</v>
      </c>
      <c r="C142" s="3" t="s">
        <v>1</v>
      </c>
    </row>
    <row r="143" spans="2:3" x14ac:dyDescent="0.35">
      <c r="B143" s="1" t="s">
        <v>141</v>
      </c>
      <c r="C143" s="3" t="s">
        <v>1</v>
      </c>
    </row>
    <row r="144" spans="2:3" x14ac:dyDescent="0.35">
      <c r="B144" s="1" t="s">
        <v>142</v>
      </c>
      <c r="C144" s="3" t="s">
        <v>1</v>
      </c>
    </row>
    <row r="145" spans="2:3" x14ac:dyDescent="0.35">
      <c r="B145" s="1" t="s">
        <v>143</v>
      </c>
      <c r="C145" s="3" t="s">
        <v>1</v>
      </c>
    </row>
    <row r="146" spans="2:3" x14ac:dyDescent="0.35">
      <c r="B146" s="1" t="s">
        <v>144</v>
      </c>
      <c r="C146" s="3" t="s">
        <v>1</v>
      </c>
    </row>
    <row r="147" spans="2:3" x14ac:dyDescent="0.35">
      <c r="B147" s="1" t="s">
        <v>145</v>
      </c>
      <c r="C147" s="3" t="s">
        <v>1</v>
      </c>
    </row>
    <row r="148" spans="2:3" x14ac:dyDescent="0.35">
      <c r="B148" s="1" t="s">
        <v>146</v>
      </c>
      <c r="C148" s="3" t="s">
        <v>1</v>
      </c>
    </row>
    <row r="149" spans="2:3" x14ac:dyDescent="0.35">
      <c r="B149" s="1" t="s">
        <v>147</v>
      </c>
      <c r="C149" s="3" t="s">
        <v>1</v>
      </c>
    </row>
    <row r="150" spans="2:3" x14ac:dyDescent="0.35">
      <c r="B150" s="1" t="s">
        <v>148</v>
      </c>
      <c r="C150" s="3" t="s">
        <v>1</v>
      </c>
    </row>
    <row r="151" spans="2:3" x14ac:dyDescent="0.35">
      <c r="B151" s="1" t="s">
        <v>149</v>
      </c>
      <c r="C151" s="3" t="s">
        <v>1</v>
      </c>
    </row>
    <row r="152" spans="2:3" x14ac:dyDescent="0.35">
      <c r="B152" s="1" t="s">
        <v>150</v>
      </c>
      <c r="C152" s="3" t="s">
        <v>1</v>
      </c>
    </row>
    <row r="153" spans="2:3" x14ac:dyDescent="0.35">
      <c r="B153" s="1" t="s">
        <v>151</v>
      </c>
      <c r="C153" s="3" t="s">
        <v>1</v>
      </c>
    </row>
    <row r="154" spans="2:3" x14ac:dyDescent="0.35">
      <c r="B154" s="1" t="s">
        <v>152</v>
      </c>
      <c r="C154" s="3" t="s">
        <v>1</v>
      </c>
    </row>
    <row r="155" spans="2:3" x14ac:dyDescent="0.35">
      <c r="B155" s="1" t="s">
        <v>153</v>
      </c>
      <c r="C155" s="3" t="s">
        <v>1</v>
      </c>
    </row>
    <row r="156" spans="2:3" x14ac:dyDescent="0.35">
      <c r="B156" s="1" t="s">
        <v>154</v>
      </c>
      <c r="C156" s="3" t="s">
        <v>1</v>
      </c>
    </row>
    <row r="157" spans="2:3" x14ac:dyDescent="0.35">
      <c r="B157" s="1" t="s">
        <v>155</v>
      </c>
      <c r="C157" s="3" t="s">
        <v>1</v>
      </c>
    </row>
    <row r="158" spans="2:3" x14ac:dyDescent="0.35">
      <c r="B158" s="1" t="s">
        <v>156</v>
      </c>
      <c r="C158" s="3" t="s">
        <v>1</v>
      </c>
    </row>
    <row r="159" spans="2:3" x14ac:dyDescent="0.35">
      <c r="B159" s="1" t="s">
        <v>157</v>
      </c>
      <c r="C159" s="3" t="s">
        <v>1</v>
      </c>
    </row>
    <row r="160" spans="2:3" x14ac:dyDescent="0.35">
      <c r="B160" s="1" t="s">
        <v>158</v>
      </c>
      <c r="C160" s="3" t="s">
        <v>1</v>
      </c>
    </row>
    <row r="161" spans="2:3" x14ac:dyDescent="0.35">
      <c r="B161" s="1" t="s">
        <v>159</v>
      </c>
      <c r="C161" s="3" t="s">
        <v>1</v>
      </c>
    </row>
    <row r="162" spans="2:3" x14ac:dyDescent="0.35">
      <c r="B162" s="1" t="s">
        <v>160</v>
      </c>
      <c r="C162" s="3" t="s">
        <v>1</v>
      </c>
    </row>
    <row r="163" spans="2:3" x14ac:dyDescent="0.35">
      <c r="B163" s="1" t="s">
        <v>161</v>
      </c>
      <c r="C163" s="3" t="s">
        <v>1</v>
      </c>
    </row>
    <row r="164" spans="2:3" x14ac:dyDescent="0.35">
      <c r="B164" s="1" t="s">
        <v>162</v>
      </c>
      <c r="C164" s="3" t="s">
        <v>1</v>
      </c>
    </row>
    <row r="165" spans="2:3" x14ac:dyDescent="0.35">
      <c r="B165" s="1" t="s">
        <v>163</v>
      </c>
      <c r="C165" s="3" t="s">
        <v>1</v>
      </c>
    </row>
    <row r="166" spans="2:3" x14ac:dyDescent="0.35">
      <c r="B166" s="1" t="s">
        <v>164</v>
      </c>
      <c r="C166" s="3" t="s">
        <v>1</v>
      </c>
    </row>
    <row r="167" spans="2:3" x14ac:dyDescent="0.35">
      <c r="B167" s="1" t="s">
        <v>165</v>
      </c>
      <c r="C167" s="3" t="s">
        <v>1</v>
      </c>
    </row>
    <row r="168" spans="2:3" x14ac:dyDescent="0.35">
      <c r="B168" s="1" t="s">
        <v>166</v>
      </c>
      <c r="C168" s="3" t="s">
        <v>1</v>
      </c>
    </row>
    <row r="169" spans="2:3" x14ac:dyDescent="0.35">
      <c r="B169" s="1" t="s">
        <v>167</v>
      </c>
      <c r="C169" s="3" t="s">
        <v>1</v>
      </c>
    </row>
    <row r="170" spans="2:3" x14ac:dyDescent="0.35">
      <c r="B170" s="1" t="s">
        <v>168</v>
      </c>
      <c r="C170" s="3" t="s">
        <v>1</v>
      </c>
    </row>
    <row r="171" spans="2:3" x14ac:dyDescent="0.35">
      <c r="B171" s="1" t="s">
        <v>169</v>
      </c>
      <c r="C171" s="3" t="s">
        <v>1</v>
      </c>
    </row>
    <row r="172" spans="2:3" x14ac:dyDescent="0.35">
      <c r="B172" s="1" t="s">
        <v>170</v>
      </c>
      <c r="C172" s="3" t="s">
        <v>1</v>
      </c>
    </row>
    <row r="173" spans="2:3" x14ac:dyDescent="0.35">
      <c r="B173" s="1" t="s">
        <v>171</v>
      </c>
      <c r="C173" s="3" t="s">
        <v>1</v>
      </c>
    </row>
    <row r="174" spans="2:3" x14ac:dyDescent="0.35">
      <c r="B174" s="1" t="s">
        <v>172</v>
      </c>
      <c r="C174" s="3" t="s">
        <v>1</v>
      </c>
    </row>
    <row r="175" spans="2:3" x14ac:dyDescent="0.35">
      <c r="B175" s="1" t="s">
        <v>173</v>
      </c>
      <c r="C175" s="3" t="s">
        <v>1</v>
      </c>
    </row>
    <row r="176" spans="2:3" x14ac:dyDescent="0.35">
      <c r="B176" s="1" t="s">
        <v>174</v>
      </c>
      <c r="C176" s="3" t="s">
        <v>1</v>
      </c>
    </row>
    <row r="177" spans="2:3" x14ac:dyDescent="0.35">
      <c r="B177" s="1" t="s">
        <v>175</v>
      </c>
      <c r="C177" s="3" t="s">
        <v>1</v>
      </c>
    </row>
    <row r="178" spans="2:3" x14ac:dyDescent="0.35">
      <c r="B178" s="1" t="s">
        <v>176</v>
      </c>
      <c r="C178" s="3" t="s">
        <v>1</v>
      </c>
    </row>
    <row r="179" spans="2:3" x14ac:dyDescent="0.35">
      <c r="B179" s="1" t="s">
        <v>177</v>
      </c>
      <c r="C179" s="3" t="s">
        <v>1</v>
      </c>
    </row>
    <row r="180" spans="2:3" x14ac:dyDescent="0.35">
      <c r="B180" s="1" t="s">
        <v>178</v>
      </c>
      <c r="C180" s="3" t="s">
        <v>1</v>
      </c>
    </row>
    <row r="181" spans="2:3" x14ac:dyDescent="0.35">
      <c r="B181" s="1" t="s">
        <v>179</v>
      </c>
      <c r="C181" s="3" t="s">
        <v>1</v>
      </c>
    </row>
    <row r="182" spans="2:3" x14ac:dyDescent="0.35">
      <c r="B182" s="1" t="s">
        <v>180</v>
      </c>
      <c r="C182" s="3" t="s">
        <v>1</v>
      </c>
    </row>
    <row r="183" spans="2:3" x14ac:dyDescent="0.35">
      <c r="B183" s="1" t="s">
        <v>181</v>
      </c>
      <c r="C183" s="3" t="s">
        <v>1</v>
      </c>
    </row>
    <row r="184" spans="2:3" x14ac:dyDescent="0.35">
      <c r="B184" s="1" t="s">
        <v>182</v>
      </c>
      <c r="C184" s="3" t="s">
        <v>1</v>
      </c>
    </row>
    <row r="185" spans="2:3" x14ac:dyDescent="0.35">
      <c r="B185" s="1" t="s">
        <v>183</v>
      </c>
      <c r="C185" s="3" t="s">
        <v>1</v>
      </c>
    </row>
    <row r="186" spans="2:3" x14ac:dyDescent="0.35">
      <c r="B186" s="1" t="s">
        <v>184</v>
      </c>
      <c r="C186" s="3" t="s">
        <v>1</v>
      </c>
    </row>
    <row r="187" spans="2:3" x14ac:dyDescent="0.35">
      <c r="B187" s="1" t="s">
        <v>185</v>
      </c>
      <c r="C187" s="3" t="s">
        <v>1</v>
      </c>
    </row>
    <row r="188" spans="2:3" x14ac:dyDescent="0.35">
      <c r="B188" s="1" t="s">
        <v>186</v>
      </c>
      <c r="C188" s="3" t="s">
        <v>1</v>
      </c>
    </row>
    <row r="189" spans="2:3" x14ac:dyDescent="0.35">
      <c r="B189" s="1" t="s">
        <v>187</v>
      </c>
      <c r="C189" s="3" t="s">
        <v>1</v>
      </c>
    </row>
    <row r="190" spans="2:3" x14ac:dyDescent="0.35">
      <c r="B190" s="1" t="s">
        <v>188</v>
      </c>
      <c r="C190" s="3" t="s">
        <v>1</v>
      </c>
    </row>
    <row r="191" spans="2:3" x14ac:dyDescent="0.35">
      <c r="B191" s="1" t="s">
        <v>189</v>
      </c>
      <c r="C191" s="3" t="s">
        <v>1</v>
      </c>
    </row>
    <row r="192" spans="2:3" x14ac:dyDescent="0.35">
      <c r="B192" s="1" t="s">
        <v>190</v>
      </c>
      <c r="C192" s="3" t="s">
        <v>1</v>
      </c>
    </row>
    <row r="193" spans="2:3" x14ac:dyDescent="0.35">
      <c r="B193" s="1" t="s">
        <v>191</v>
      </c>
      <c r="C193" s="3" t="s">
        <v>1</v>
      </c>
    </row>
    <row r="194" spans="2:3" x14ac:dyDescent="0.35">
      <c r="B194" s="1" t="s">
        <v>192</v>
      </c>
      <c r="C194" s="3" t="s">
        <v>1</v>
      </c>
    </row>
    <row r="195" spans="2:3" x14ac:dyDescent="0.35">
      <c r="B195" s="1" t="s">
        <v>193</v>
      </c>
      <c r="C195" s="3" t="s">
        <v>1</v>
      </c>
    </row>
    <row r="196" spans="2:3" x14ac:dyDescent="0.35">
      <c r="B196" s="1" t="s">
        <v>194</v>
      </c>
      <c r="C196" s="3" t="s">
        <v>1</v>
      </c>
    </row>
    <row r="197" spans="2:3" x14ac:dyDescent="0.35">
      <c r="B197" s="1" t="s">
        <v>195</v>
      </c>
      <c r="C197" s="3" t="s">
        <v>1</v>
      </c>
    </row>
    <row r="198" spans="2:3" x14ac:dyDescent="0.35">
      <c r="B198" s="1" t="s">
        <v>196</v>
      </c>
      <c r="C198" s="3" t="s">
        <v>1</v>
      </c>
    </row>
    <row r="199" spans="2:3" x14ac:dyDescent="0.35">
      <c r="B199" s="1" t="s">
        <v>197</v>
      </c>
      <c r="C199" s="3" t="s">
        <v>1</v>
      </c>
    </row>
    <row r="200" spans="2:3" x14ac:dyDescent="0.35">
      <c r="B200" s="1" t="s">
        <v>198</v>
      </c>
      <c r="C200" s="3" t="s">
        <v>1</v>
      </c>
    </row>
    <row r="201" spans="2:3" x14ac:dyDescent="0.35">
      <c r="B201" s="1" t="s">
        <v>199</v>
      </c>
      <c r="C201" s="3" t="s">
        <v>1</v>
      </c>
    </row>
    <row r="202" spans="2:3" x14ac:dyDescent="0.35">
      <c r="B202" s="1" t="s">
        <v>200</v>
      </c>
      <c r="C202" s="3" t="s">
        <v>1</v>
      </c>
    </row>
    <row r="203" spans="2:3" x14ac:dyDescent="0.35">
      <c r="B203" s="1" t="s">
        <v>201</v>
      </c>
      <c r="C203" s="3" t="s">
        <v>1</v>
      </c>
    </row>
    <row r="204" spans="2:3" x14ac:dyDescent="0.35">
      <c r="B204" s="1" t="s">
        <v>202</v>
      </c>
      <c r="C204" s="3" t="s">
        <v>1</v>
      </c>
    </row>
    <row r="205" spans="2:3" x14ac:dyDescent="0.35">
      <c r="B205" s="1" t="s">
        <v>203</v>
      </c>
      <c r="C205" s="3" t="s">
        <v>1</v>
      </c>
    </row>
    <row r="206" spans="2:3" x14ac:dyDescent="0.35">
      <c r="B206" s="1" t="s">
        <v>204</v>
      </c>
      <c r="C206" s="3" t="s">
        <v>1</v>
      </c>
    </row>
    <row r="207" spans="2:3" x14ac:dyDescent="0.35">
      <c r="B207" s="1" t="s">
        <v>205</v>
      </c>
      <c r="C207" s="3" t="s">
        <v>1</v>
      </c>
    </row>
    <row r="208" spans="2:3" x14ac:dyDescent="0.35">
      <c r="B208" s="1" t="s">
        <v>206</v>
      </c>
      <c r="C208" s="3" t="s">
        <v>1</v>
      </c>
    </row>
    <row r="209" spans="2:3" x14ac:dyDescent="0.35">
      <c r="B209" s="1" t="s">
        <v>207</v>
      </c>
      <c r="C209" s="3" t="s">
        <v>1</v>
      </c>
    </row>
    <row r="210" spans="2:3" x14ac:dyDescent="0.35">
      <c r="B210" s="1" t="s">
        <v>208</v>
      </c>
      <c r="C210" s="3" t="s">
        <v>1</v>
      </c>
    </row>
    <row r="211" spans="2:3" x14ac:dyDescent="0.35">
      <c r="B211" s="1" t="s">
        <v>209</v>
      </c>
      <c r="C211" s="3" t="s">
        <v>1</v>
      </c>
    </row>
    <row r="212" spans="2:3" x14ac:dyDescent="0.35">
      <c r="B212" s="1" t="s">
        <v>210</v>
      </c>
      <c r="C212" s="3" t="s">
        <v>1</v>
      </c>
    </row>
    <row r="213" spans="2:3" x14ac:dyDescent="0.35">
      <c r="B213" s="1" t="s">
        <v>211</v>
      </c>
      <c r="C213" s="3" t="s">
        <v>1</v>
      </c>
    </row>
    <row r="214" spans="2:3" x14ac:dyDescent="0.35">
      <c r="B214" s="1" t="s">
        <v>212</v>
      </c>
      <c r="C214" s="3" t="s">
        <v>1</v>
      </c>
    </row>
    <row r="215" spans="2:3" x14ac:dyDescent="0.35">
      <c r="B215" s="1" t="s">
        <v>213</v>
      </c>
      <c r="C215" s="3" t="s">
        <v>1</v>
      </c>
    </row>
    <row r="216" spans="2:3" x14ac:dyDescent="0.35">
      <c r="B216" s="1" t="s">
        <v>214</v>
      </c>
      <c r="C216" s="3" t="s">
        <v>1</v>
      </c>
    </row>
    <row r="217" spans="2:3" x14ac:dyDescent="0.35">
      <c r="B217" s="1" t="s">
        <v>215</v>
      </c>
      <c r="C217" s="3" t="s">
        <v>1</v>
      </c>
    </row>
    <row r="218" spans="2:3" x14ac:dyDescent="0.35">
      <c r="B218" s="1" t="s">
        <v>216</v>
      </c>
      <c r="C218" s="3" t="s">
        <v>1</v>
      </c>
    </row>
    <row r="219" spans="2:3" x14ac:dyDescent="0.35">
      <c r="B219" s="1" t="s">
        <v>217</v>
      </c>
      <c r="C219" s="3" t="s">
        <v>1</v>
      </c>
    </row>
    <row r="220" spans="2:3" x14ac:dyDescent="0.35">
      <c r="B220" s="1" t="s">
        <v>218</v>
      </c>
      <c r="C220" s="3" t="s">
        <v>1</v>
      </c>
    </row>
    <row r="221" spans="2:3" x14ac:dyDescent="0.35">
      <c r="B221" s="1" t="s">
        <v>219</v>
      </c>
      <c r="C221" s="3" t="s">
        <v>1</v>
      </c>
    </row>
    <row r="222" spans="2:3" x14ac:dyDescent="0.35">
      <c r="B222" s="1" t="s">
        <v>220</v>
      </c>
      <c r="C222" s="3" t="s">
        <v>1</v>
      </c>
    </row>
    <row r="224" spans="2:3" x14ac:dyDescent="0.35">
      <c r="B224" s="1" t="s">
        <v>221</v>
      </c>
      <c r="C224" s="3" t="s">
        <v>1</v>
      </c>
    </row>
    <row r="225" spans="2:3" x14ac:dyDescent="0.35">
      <c r="B225" s="1" t="s">
        <v>222</v>
      </c>
      <c r="C225" s="3" t="s">
        <v>1</v>
      </c>
    </row>
    <row r="226" spans="2:3" x14ac:dyDescent="0.35">
      <c r="B226" s="1" t="s">
        <v>223</v>
      </c>
      <c r="C226" s="3" t="s">
        <v>1</v>
      </c>
    </row>
    <row r="227" spans="2:3" x14ac:dyDescent="0.35">
      <c r="B227" s="1" t="s">
        <v>224</v>
      </c>
      <c r="C227" s="3" t="s">
        <v>1</v>
      </c>
    </row>
    <row r="228" spans="2:3" x14ac:dyDescent="0.35">
      <c r="B228" s="1" t="s">
        <v>225</v>
      </c>
      <c r="C228" s="3" t="s">
        <v>1</v>
      </c>
    </row>
    <row r="229" spans="2:3" x14ac:dyDescent="0.35">
      <c r="B229" s="1" t="s">
        <v>226</v>
      </c>
      <c r="C229" s="3" t="s">
        <v>1</v>
      </c>
    </row>
    <row r="230" spans="2:3" x14ac:dyDescent="0.35">
      <c r="B230" s="1" t="s">
        <v>227</v>
      </c>
      <c r="C230" s="3" t="s">
        <v>1</v>
      </c>
    </row>
    <row r="231" spans="2:3" x14ac:dyDescent="0.35">
      <c r="B231" s="1" t="s">
        <v>228</v>
      </c>
      <c r="C231" s="3" t="s">
        <v>1</v>
      </c>
    </row>
    <row r="232" spans="2:3" x14ac:dyDescent="0.35">
      <c r="B232" s="1" t="s">
        <v>229</v>
      </c>
      <c r="C232" s="3" t="s">
        <v>1</v>
      </c>
    </row>
    <row r="233" spans="2:3" x14ac:dyDescent="0.35">
      <c r="B233" s="1" t="s">
        <v>230</v>
      </c>
      <c r="C233" s="3" t="s">
        <v>1</v>
      </c>
    </row>
    <row r="234" spans="2:3" x14ac:dyDescent="0.35">
      <c r="B234" s="1" t="s">
        <v>231</v>
      </c>
      <c r="C234" s="3" t="s">
        <v>1</v>
      </c>
    </row>
    <row r="235" spans="2:3" x14ac:dyDescent="0.35">
      <c r="B235" s="1" t="s">
        <v>232</v>
      </c>
      <c r="C235" s="3" t="s">
        <v>1</v>
      </c>
    </row>
    <row r="236" spans="2:3" x14ac:dyDescent="0.35">
      <c r="B236" s="1" t="s">
        <v>233</v>
      </c>
      <c r="C236" s="3" t="s">
        <v>1</v>
      </c>
    </row>
    <row r="237" spans="2:3" x14ac:dyDescent="0.35">
      <c r="B237" s="1" t="s">
        <v>234</v>
      </c>
      <c r="C237" s="3" t="s">
        <v>1</v>
      </c>
    </row>
    <row r="238" spans="2:3" x14ac:dyDescent="0.35">
      <c r="B238" s="1" t="s">
        <v>235</v>
      </c>
      <c r="C238" s="3" t="s">
        <v>1</v>
      </c>
    </row>
    <row r="239" spans="2:3" x14ac:dyDescent="0.35">
      <c r="B239" s="1" t="s">
        <v>236</v>
      </c>
      <c r="C239" s="3" t="s">
        <v>1</v>
      </c>
    </row>
    <row r="240" spans="2:3" x14ac:dyDescent="0.35">
      <c r="B240" s="1" t="s">
        <v>237</v>
      </c>
      <c r="C240" s="3" t="s">
        <v>1</v>
      </c>
    </row>
    <row r="241" spans="2:3" x14ac:dyDescent="0.35">
      <c r="B241" s="1" t="s">
        <v>238</v>
      </c>
      <c r="C241" s="3" t="s">
        <v>1</v>
      </c>
    </row>
    <row r="242" spans="2:3" x14ac:dyDescent="0.35">
      <c r="B242" s="1" t="s">
        <v>239</v>
      </c>
      <c r="C242" s="3" t="s">
        <v>1</v>
      </c>
    </row>
    <row r="243" spans="2:3" x14ac:dyDescent="0.35">
      <c r="B243" s="1" t="s">
        <v>240</v>
      </c>
      <c r="C243" s="3" t="s">
        <v>1</v>
      </c>
    </row>
    <row r="244" spans="2:3" x14ac:dyDescent="0.35">
      <c r="B244" s="1" t="s">
        <v>241</v>
      </c>
      <c r="C244" s="3" t="s">
        <v>1</v>
      </c>
    </row>
    <row r="245" spans="2:3" x14ac:dyDescent="0.35">
      <c r="B245" s="1" t="s">
        <v>242</v>
      </c>
      <c r="C245" s="3" t="s">
        <v>1</v>
      </c>
    </row>
    <row r="246" spans="2:3" x14ac:dyDescent="0.35">
      <c r="B246" s="1" t="s">
        <v>243</v>
      </c>
      <c r="C246" s="3" t="s">
        <v>1</v>
      </c>
    </row>
    <row r="247" spans="2:3" x14ac:dyDescent="0.35">
      <c r="B247" s="1" t="s">
        <v>244</v>
      </c>
      <c r="C247" s="3" t="s">
        <v>1</v>
      </c>
    </row>
    <row r="248" spans="2:3" x14ac:dyDescent="0.35">
      <c r="B248" s="1" t="s">
        <v>245</v>
      </c>
      <c r="C248" s="3" t="s">
        <v>1</v>
      </c>
    </row>
    <row r="249" spans="2:3" x14ac:dyDescent="0.35">
      <c r="B249" s="1" t="s">
        <v>246</v>
      </c>
      <c r="C249" s="3" t="s">
        <v>1</v>
      </c>
    </row>
    <row r="250" spans="2:3" x14ac:dyDescent="0.35">
      <c r="B250" s="1" t="s">
        <v>247</v>
      </c>
      <c r="C250" s="3" t="s">
        <v>1</v>
      </c>
    </row>
    <row r="251" spans="2:3" x14ac:dyDescent="0.35">
      <c r="B251" s="1" t="s">
        <v>248</v>
      </c>
      <c r="C251" s="3" t="s">
        <v>1</v>
      </c>
    </row>
    <row r="252" spans="2:3" x14ac:dyDescent="0.35">
      <c r="B252" s="1" t="s">
        <v>249</v>
      </c>
      <c r="C252" s="3" t="s">
        <v>1</v>
      </c>
    </row>
    <row r="253" spans="2:3" x14ac:dyDescent="0.35">
      <c r="B253" s="1" t="s">
        <v>250</v>
      </c>
      <c r="C253" s="3" t="s">
        <v>1</v>
      </c>
    </row>
    <row r="254" spans="2:3" x14ac:dyDescent="0.35">
      <c r="B254" s="1" t="s">
        <v>251</v>
      </c>
      <c r="C254" s="3" t="s">
        <v>1</v>
      </c>
    </row>
    <row r="255" spans="2:3" x14ac:dyDescent="0.35">
      <c r="B255" s="1" t="s">
        <v>252</v>
      </c>
      <c r="C255" s="3" t="s">
        <v>1</v>
      </c>
    </row>
    <row r="256" spans="2:3" x14ac:dyDescent="0.35">
      <c r="B256" s="1" t="s">
        <v>253</v>
      </c>
      <c r="C256" s="3" t="s">
        <v>1</v>
      </c>
    </row>
    <row r="257" spans="2:3" x14ac:dyDescent="0.35">
      <c r="B257" s="1" t="s">
        <v>254</v>
      </c>
      <c r="C257" s="3" t="s">
        <v>1</v>
      </c>
    </row>
    <row r="258" spans="2:3" x14ac:dyDescent="0.35">
      <c r="B258" s="1" t="s">
        <v>255</v>
      </c>
      <c r="C258" s="3" t="s">
        <v>1</v>
      </c>
    </row>
    <row r="259" spans="2:3" x14ac:dyDescent="0.35">
      <c r="B259" s="1" t="s">
        <v>256</v>
      </c>
      <c r="C259" s="3" t="s">
        <v>1</v>
      </c>
    </row>
    <row r="260" spans="2:3" x14ac:dyDescent="0.35">
      <c r="B260" s="1" t="s">
        <v>257</v>
      </c>
      <c r="C260" s="3" t="s">
        <v>1</v>
      </c>
    </row>
    <row r="261" spans="2:3" x14ac:dyDescent="0.35">
      <c r="B261" s="1" t="s">
        <v>258</v>
      </c>
      <c r="C261" s="3" t="s">
        <v>1</v>
      </c>
    </row>
    <row r="262" spans="2:3" x14ac:dyDescent="0.35">
      <c r="B262" s="1" t="s">
        <v>259</v>
      </c>
      <c r="C262" s="3" t="s">
        <v>1</v>
      </c>
    </row>
    <row r="263" spans="2:3" x14ac:dyDescent="0.35">
      <c r="B263" s="1" t="s">
        <v>260</v>
      </c>
      <c r="C263" s="3" t="s">
        <v>1</v>
      </c>
    </row>
    <row r="264" spans="2:3" x14ac:dyDescent="0.35">
      <c r="B264" s="1" t="s">
        <v>261</v>
      </c>
      <c r="C264" s="3" t="s">
        <v>1</v>
      </c>
    </row>
    <row r="265" spans="2:3" x14ac:dyDescent="0.35">
      <c r="B265" s="1" t="s">
        <v>262</v>
      </c>
      <c r="C265" s="3" t="s">
        <v>1</v>
      </c>
    </row>
    <row r="266" spans="2:3" x14ac:dyDescent="0.35">
      <c r="B266" s="1" t="s">
        <v>263</v>
      </c>
      <c r="C266" s="3" t="s">
        <v>1</v>
      </c>
    </row>
    <row r="267" spans="2:3" x14ac:dyDescent="0.35">
      <c r="B267" s="1" t="s">
        <v>264</v>
      </c>
      <c r="C267" s="3" t="s">
        <v>1</v>
      </c>
    </row>
    <row r="268" spans="2:3" x14ac:dyDescent="0.35">
      <c r="B268" s="1" t="s">
        <v>265</v>
      </c>
      <c r="C268" s="3" t="s">
        <v>1</v>
      </c>
    </row>
    <row r="269" spans="2:3" x14ac:dyDescent="0.35">
      <c r="B269" s="1" t="s">
        <v>266</v>
      </c>
      <c r="C269" s="3" t="s">
        <v>1</v>
      </c>
    </row>
    <row r="270" spans="2:3" x14ac:dyDescent="0.35">
      <c r="B270" s="1" t="s">
        <v>267</v>
      </c>
      <c r="C270" s="3" t="s">
        <v>1</v>
      </c>
    </row>
    <row r="271" spans="2:3" x14ac:dyDescent="0.35">
      <c r="B271" s="1" t="s">
        <v>268</v>
      </c>
      <c r="C271" s="3" t="s">
        <v>1</v>
      </c>
    </row>
    <row r="272" spans="2:3" x14ac:dyDescent="0.35">
      <c r="B272" s="1" t="s">
        <v>269</v>
      </c>
      <c r="C272" s="3" t="s">
        <v>1</v>
      </c>
    </row>
    <row r="273" spans="2:3" x14ac:dyDescent="0.35">
      <c r="B273" s="1" t="s">
        <v>270</v>
      </c>
      <c r="C273" s="3" t="s">
        <v>1</v>
      </c>
    </row>
    <row r="274" spans="2:3" x14ac:dyDescent="0.35">
      <c r="B274" s="1" t="s">
        <v>271</v>
      </c>
      <c r="C274" s="3" t="s">
        <v>1</v>
      </c>
    </row>
    <row r="275" spans="2:3" x14ac:dyDescent="0.35">
      <c r="B275" s="1" t="s">
        <v>272</v>
      </c>
      <c r="C275" s="3" t="s">
        <v>1</v>
      </c>
    </row>
    <row r="276" spans="2:3" x14ac:dyDescent="0.35">
      <c r="B276" s="1" t="s">
        <v>273</v>
      </c>
      <c r="C276" s="3" t="s">
        <v>1</v>
      </c>
    </row>
    <row r="277" spans="2:3" x14ac:dyDescent="0.35">
      <c r="B277" s="1" t="s">
        <v>274</v>
      </c>
      <c r="C277" s="3" t="s">
        <v>1</v>
      </c>
    </row>
    <row r="278" spans="2:3" x14ac:dyDescent="0.35">
      <c r="B278" s="1" t="s">
        <v>275</v>
      </c>
      <c r="C278" s="3" t="s">
        <v>1</v>
      </c>
    </row>
    <row r="279" spans="2:3" x14ac:dyDescent="0.35">
      <c r="B279" s="1" t="s">
        <v>276</v>
      </c>
      <c r="C279" s="3" t="s">
        <v>1</v>
      </c>
    </row>
    <row r="280" spans="2:3" x14ac:dyDescent="0.35">
      <c r="B280" s="1" t="s">
        <v>277</v>
      </c>
      <c r="C280" s="3" t="s">
        <v>1</v>
      </c>
    </row>
    <row r="281" spans="2:3" x14ac:dyDescent="0.35">
      <c r="B281" s="1" t="s">
        <v>278</v>
      </c>
      <c r="C281" s="3" t="s">
        <v>1</v>
      </c>
    </row>
    <row r="282" spans="2:3" x14ac:dyDescent="0.35">
      <c r="B282" s="1" t="s">
        <v>279</v>
      </c>
      <c r="C282" s="3" t="s">
        <v>1</v>
      </c>
    </row>
    <row r="283" spans="2:3" x14ac:dyDescent="0.35">
      <c r="B283" s="1" t="s">
        <v>280</v>
      </c>
      <c r="C283" s="3" t="s">
        <v>1</v>
      </c>
    </row>
    <row r="284" spans="2:3" x14ac:dyDescent="0.35">
      <c r="B284" s="1" t="s">
        <v>281</v>
      </c>
      <c r="C284" s="3" t="s">
        <v>1</v>
      </c>
    </row>
    <row r="285" spans="2:3" x14ac:dyDescent="0.35">
      <c r="B285" s="1" t="s">
        <v>282</v>
      </c>
      <c r="C285" s="3" t="s">
        <v>1</v>
      </c>
    </row>
    <row r="286" spans="2:3" x14ac:dyDescent="0.35">
      <c r="B286" s="1" t="s">
        <v>283</v>
      </c>
      <c r="C286" s="3" t="s">
        <v>1</v>
      </c>
    </row>
    <row r="287" spans="2:3" x14ac:dyDescent="0.35">
      <c r="B287" s="1" t="s">
        <v>284</v>
      </c>
      <c r="C287" s="3" t="s">
        <v>1</v>
      </c>
    </row>
    <row r="288" spans="2:3" x14ac:dyDescent="0.35">
      <c r="B288" s="1" t="s">
        <v>285</v>
      </c>
      <c r="C288" s="3" t="s">
        <v>1</v>
      </c>
    </row>
    <row r="289" spans="2:3" x14ac:dyDescent="0.35">
      <c r="B289" s="1" t="s">
        <v>286</v>
      </c>
      <c r="C289" s="3" t="s">
        <v>1</v>
      </c>
    </row>
    <row r="290" spans="2:3" x14ac:dyDescent="0.35">
      <c r="B290" s="1" t="s">
        <v>287</v>
      </c>
      <c r="C290" s="3" t="s">
        <v>1</v>
      </c>
    </row>
    <row r="291" spans="2:3" x14ac:dyDescent="0.35">
      <c r="B291" s="1" t="s">
        <v>288</v>
      </c>
      <c r="C291" s="3" t="s">
        <v>1</v>
      </c>
    </row>
    <row r="292" spans="2:3" x14ac:dyDescent="0.35">
      <c r="B292" s="1" t="s">
        <v>289</v>
      </c>
      <c r="C292" s="3" t="s">
        <v>1</v>
      </c>
    </row>
    <row r="293" spans="2:3" x14ac:dyDescent="0.35">
      <c r="B293" s="1" t="s">
        <v>290</v>
      </c>
      <c r="C293" s="3" t="s">
        <v>1</v>
      </c>
    </row>
    <row r="294" spans="2:3" x14ac:dyDescent="0.35">
      <c r="B294" s="1" t="s">
        <v>291</v>
      </c>
      <c r="C294" s="3" t="s">
        <v>1</v>
      </c>
    </row>
    <row r="295" spans="2:3" x14ac:dyDescent="0.35">
      <c r="B295" s="1" t="s">
        <v>292</v>
      </c>
      <c r="C295" s="3" t="s">
        <v>1</v>
      </c>
    </row>
    <row r="296" spans="2:3" x14ac:dyDescent="0.35">
      <c r="B296" s="1" t="s">
        <v>293</v>
      </c>
      <c r="C296" s="3" t="s">
        <v>1</v>
      </c>
    </row>
    <row r="297" spans="2:3" x14ac:dyDescent="0.35">
      <c r="B297" s="1" t="s">
        <v>294</v>
      </c>
      <c r="C297" s="3" t="s">
        <v>1</v>
      </c>
    </row>
    <row r="298" spans="2:3" x14ac:dyDescent="0.35">
      <c r="B298" s="1" t="s">
        <v>295</v>
      </c>
      <c r="C298" s="3" t="s">
        <v>1</v>
      </c>
    </row>
    <row r="299" spans="2:3" x14ac:dyDescent="0.35">
      <c r="B299" s="1" t="s">
        <v>296</v>
      </c>
      <c r="C299" s="3" t="s">
        <v>1</v>
      </c>
    </row>
    <row r="300" spans="2:3" x14ac:dyDescent="0.35">
      <c r="B300" s="1" t="s">
        <v>297</v>
      </c>
      <c r="C300" s="3" t="s">
        <v>1</v>
      </c>
    </row>
    <row r="301" spans="2:3" x14ac:dyDescent="0.35">
      <c r="B301" s="1" t="s">
        <v>298</v>
      </c>
      <c r="C301" s="3" t="s">
        <v>1</v>
      </c>
    </row>
    <row r="302" spans="2:3" x14ac:dyDescent="0.35">
      <c r="B302" s="1" t="s">
        <v>299</v>
      </c>
      <c r="C302" s="3" t="s">
        <v>1</v>
      </c>
    </row>
    <row r="303" spans="2:3" x14ac:dyDescent="0.35">
      <c r="B303" s="1" t="s">
        <v>300</v>
      </c>
      <c r="C303" s="3" t="s">
        <v>1</v>
      </c>
    </row>
    <row r="304" spans="2:3" x14ac:dyDescent="0.35">
      <c r="B304" s="1" t="s">
        <v>301</v>
      </c>
      <c r="C304" s="3" t="s">
        <v>1</v>
      </c>
    </row>
    <row r="305" spans="2:3" x14ac:dyDescent="0.35">
      <c r="B305" s="1" t="s">
        <v>302</v>
      </c>
      <c r="C305" s="3" t="s">
        <v>1</v>
      </c>
    </row>
    <row r="306" spans="2:3" x14ac:dyDescent="0.35">
      <c r="B306" s="1" t="s">
        <v>303</v>
      </c>
      <c r="C306" s="3" t="s">
        <v>1</v>
      </c>
    </row>
    <row r="307" spans="2:3" x14ac:dyDescent="0.35">
      <c r="B307" s="1" t="s">
        <v>304</v>
      </c>
      <c r="C307" s="3" t="s">
        <v>1</v>
      </c>
    </row>
    <row r="308" spans="2:3" x14ac:dyDescent="0.35">
      <c r="B308" s="1" t="s">
        <v>305</v>
      </c>
      <c r="C308" s="3" t="s">
        <v>1</v>
      </c>
    </row>
    <row r="309" spans="2:3" x14ac:dyDescent="0.35">
      <c r="B309" s="1" t="s">
        <v>306</v>
      </c>
      <c r="C309" s="3" t="s">
        <v>1</v>
      </c>
    </row>
    <row r="310" spans="2:3" x14ac:dyDescent="0.35">
      <c r="B310" s="1" t="s">
        <v>307</v>
      </c>
      <c r="C310" s="3" t="s">
        <v>1</v>
      </c>
    </row>
    <row r="311" spans="2:3" x14ac:dyDescent="0.35">
      <c r="B311" s="1" t="s">
        <v>308</v>
      </c>
      <c r="C311" s="3" t="s">
        <v>1</v>
      </c>
    </row>
    <row r="312" spans="2:3" x14ac:dyDescent="0.35">
      <c r="B312" s="1" t="s">
        <v>309</v>
      </c>
      <c r="C312" s="3" t="s">
        <v>1</v>
      </c>
    </row>
    <row r="313" spans="2:3" x14ac:dyDescent="0.35">
      <c r="B313" s="1" t="s">
        <v>310</v>
      </c>
      <c r="C313" s="3" t="s">
        <v>1</v>
      </c>
    </row>
    <row r="314" spans="2:3" x14ac:dyDescent="0.35">
      <c r="B314" s="1" t="s">
        <v>311</v>
      </c>
      <c r="C314" s="3" t="s">
        <v>1</v>
      </c>
    </row>
    <row r="315" spans="2:3" x14ac:dyDescent="0.35">
      <c r="B315" s="1" t="s">
        <v>312</v>
      </c>
      <c r="C315" s="3" t="s">
        <v>1</v>
      </c>
    </row>
    <row r="316" spans="2:3" x14ac:dyDescent="0.35">
      <c r="B316" s="1" t="s">
        <v>313</v>
      </c>
      <c r="C316" s="3" t="s">
        <v>1</v>
      </c>
    </row>
    <row r="317" spans="2:3" x14ac:dyDescent="0.35">
      <c r="B317" s="1" t="s">
        <v>314</v>
      </c>
      <c r="C317" s="3" t="s">
        <v>1</v>
      </c>
    </row>
    <row r="318" spans="2:3" x14ac:dyDescent="0.35">
      <c r="B318" s="1" t="s">
        <v>315</v>
      </c>
      <c r="C318" s="3" t="s">
        <v>1</v>
      </c>
    </row>
    <row r="319" spans="2:3" x14ac:dyDescent="0.35">
      <c r="B319" s="1" t="s">
        <v>316</v>
      </c>
      <c r="C319" s="3" t="s">
        <v>1</v>
      </c>
    </row>
    <row r="320" spans="2:3" x14ac:dyDescent="0.35">
      <c r="B320" s="1" t="s">
        <v>317</v>
      </c>
      <c r="C320" s="3" t="s">
        <v>1</v>
      </c>
    </row>
    <row r="321" spans="2:3" x14ac:dyDescent="0.35">
      <c r="B321" s="1" t="s">
        <v>318</v>
      </c>
      <c r="C321" s="3" t="s">
        <v>1</v>
      </c>
    </row>
    <row r="322" spans="2:3" x14ac:dyDescent="0.35">
      <c r="B322" s="1" t="s">
        <v>319</v>
      </c>
      <c r="C322" s="3" t="s">
        <v>1</v>
      </c>
    </row>
    <row r="323" spans="2:3" x14ac:dyDescent="0.35">
      <c r="B323" s="1" t="s">
        <v>320</v>
      </c>
      <c r="C323" s="3" t="s">
        <v>1</v>
      </c>
    </row>
    <row r="324" spans="2:3" x14ac:dyDescent="0.35">
      <c r="B324" s="1" t="s">
        <v>321</v>
      </c>
      <c r="C324" s="3" t="s">
        <v>1</v>
      </c>
    </row>
    <row r="325" spans="2:3" x14ac:dyDescent="0.35">
      <c r="B325" s="1" t="s">
        <v>322</v>
      </c>
      <c r="C325" s="3" t="s">
        <v>1</v>
      </c>
    </row>
    <row r="326" spans="2:3" x14ac:dyDescent="0.35">
      <c r="B326" s="1" t="s">
        <v>323</v>
      </c>
      <c r="C326" s="3" t="s">
        <v>1</v>
      </c>
    </row>
    <row r="327" spans="2:3" x14ac:dyDescent="0.35">
      <c r="B327" s="1" t="s">
        <v>324</v>
      </c>
      <c r="C327" s="3" t="s">
        <v>1</v>
      </c>
    </row>
    <row r="328" spans="2:3" x14ac:dyDescent="0.35">
      <c r="B328" s="1" t="s">
        <v>325</v>
      </c>
      <c r="C328" s="3" t="s">
        <v>1</v>
      </c>
    </row>
    <row r="329" spans="2:3" x14ac:dyDescent="0.35">
      <c r="B329" s="1" t="s">
        <v>326</v>
      </c>
      <c r="C329" s="3" t="s">
        <v>1</v>
      </c>
    </row>
    <row r="330" spans="2:3" x14ac:dyDescent="0.35">
      <c r="B330" s="1" t="s">
        <v>327</v>
      </c>
      <c r="C330" s="3" t="s">
        <v>1</v>
      </c>
    </row>
    <row r="331" spans="2:3" x14ac:dyDescent="0.35">
      <c r="B331" s="1" t="s">
        <v>328</v>
      </c>
      <c r="C331" s="3" t="s">
        <v>1</v>
      </c>
    </row>
    <row r="332" spans="2:3" x14ac:dyDescent="0.35">
      <c r="B332" s="1" t="s">
        <v>329</v>
      </c>
      <c r="C332" s="3" t="s">
        <v>1</v>
      </c>
    </row>
    <row r="333" spans="2:3" x14ac:dyDescent="0.35">
      <c r="B333" s="1" t="s">
        <v>330</v>
      </c>
      <c r="C333" s="3" t="s">
        <v>1</v>
      </c>
    </row>
    <row r="334" spans="2:3" x14ac:dyDescent="0.35">
      <c r="B334" s="1" t="s">
        <v>331</v>
      </c>
      <c r="C334" s="3" t="s">
        <v>1</v>
      </c>
    </row>
    <row r="335" spans="2:3" x14ac:dyDescent="0.35">
      <c r="B335" s="1" t="s">
        <v>332</v>
      </c>
      <c r="C335" s="3" t="s">
        <v>1</v>
      </c>
    </row>
    <row r="336" spans="2:3" x14ac:dyDescent="0.35">
      <c r="B336" s="1" t="s">
        <v>333</v>
      </c>
      <c r="C336" s="3" t="s">
        <v>1</v>
      </c>
    </row>
    <row r="337" spans="2:3" x14ac:dyDescent="0.35">
      <c r="B337" s="1" t="s">
        <v>334</v>
      </c>
      <c r="C337" s="3" t="s">
        <v>1</v>
      </c>
    </row>
    <row r="338" spans="2:3" x14ac:dyDescent="0.35">
      <c r="B338" s="1" t="s">
        <v>335</v>
      </c>
      <c r="C338" s="3" t="s">
        <v>1</v>
      </c>
    </row>
    <row r="339" spans="2:3" x14ac:dyDescent="0.35">
      <c r="B339" s="1" t="s">
        <v>336</v>
      </c>
      <c r="C339" s="3" t="s">
        <v>1</v>
      </c>
    </row>
    <row r="340" spans="2:3" x14ac:dyDescent="0.35">
      <c r="B340" s="1" t="s">
        <v>337</v>
      </c>
      <c r="C340" s="3" t="s">
        <v>1</v>
      </c>
    </row>
    <row r="341" spans="2:3" x14ac:dyDescent="0.35">
      <c r="B341" s="1" t="s">
        <v>338</v>
      </c>
      <c r="C341" s="3" t="s">
        <v>1</v>
      </c>
    </row>
    <row r="342" spans="2:3" x14ac:dyDescent="0.35">
      <c r="B342" s="1" t="s">
        <v>339</v>
      </c>
      <c r="C342" s="3" t="s">
        <v>1</v>
      </c>
    </row>
    <row r="343" spans="2:3" x14ac:dyDescent="0.35">
      <c r="B343" s="1" t="s">
        <v>340</v>
      </c>
      <c r="C343" s="3" t="s">
        <v>1</v>
      </c>
    </row>
    <row r="344" spans="2:3" x14ac:dyDescent="0.35">
      <c r="B344" s="1" t="s">
        <v>341</v>
      </c>
      <c r="C344" s="3" t="s">
        <v>1</v>
      </c>
    </row>
    <row r="345" spans="2:3" x14ac:dyDescent="0.35">
      <c r="B345" s="1" t="s">
        <v>342</v>
      </c>
      <c r="C345" s="3" t="s">
        <v>1</v>
      </c>
    </row>
    <row r="346" spans="2:3" x14ac:dyDescent="0.35">
      <c r="B346" s="1" t="s">
        <v>343</v>
      </c>
      <c r="C346" s="3" t="s">
        <v>1</v>
      </c>
    </row>
    <row r="347" spans="2:3" x14ac:dyDescent="0.35">
      <c r="B347" s="1" t="s">
        <v>344</v>
      </c>
      <c r="C347" s="3" t="s">
        <v>1</v>
      </c>
    </row>
    <row r="348" spans="2:3" x14ac:dyDescent="0.35">
      <c r="B348" s="1" t="s">
        <v>345</v>
      </c>
      <c r="C348" s="3" t="s">
        <v>1</v>
      </c>
    </row>
    <row r="349" spans="2:3" x14ac:dyDescent="0.35">
      <c r="B349" s="1" t="s">
        <v>346</v>
      </c>
      <c r="C349" s="3" t="s">
        <v>1</v>
      </c>
    </row>
    <row r="350" spans="2:3" x14ac:dyDescent="0.35">
      <c r="B350" s="1" t="s">
        <v>347</v>
      </c>
      <c r="C350" s="3" t="s">
        <v>1</v>
      </c>
    </row>
    <row r="351" spans="2:3" x14ac:dyDescent="0.35">
      <c r="B351" s="1" t="s">
        <v>348</v>
      </c>
      <c r="C351" s="3" t="s">
        <v>1</v>
      </c>
    </row>
    <row r="352" spans="2:3" x14ac:dyDescent="0.35">
      <c r="B352" s="1" t="s">
        <v>349</v>
      </c>
      <c r="C352" s="3" t="s">
        <v>1</v>
      </c>
    </row>
    <row r="353" spans="2:3" x14ac:dyDescent="0.35">
      <c r="B353" s="1" t="s">
        <v>350</v>
      </c>
      <c r="C353" s="3" t="s">
        <v>1</v>
      </c>
    </row>
    <row r="354" spans="2:3" x14ac:dyDescent="0.35">
      <c r="B354" s="1" t="s">
        <v>351</v>
      </c>
      <c r="C354" s="3" t="s">
        <v>1</v>
      </c>
    </row>
    <row r="355" spans="2:3" x14ac:dyDescent="0.35">
      <c r="B355" s="1" t="s">
        <v>352</v>
      </c>
      <c r="C355" s="3" t="s">
        <v>1</v>
      </c>
    </row>
    <row r="356" spans="2:3" x14ac:dyDescent="0.35">
      <c r="B356" s="1" t="s">
        <v>353</v>
      </c>
      <c r="C356" s="3" t="s">
        <v>1</v>
      </c>
    </row>
    <row r="357" spans="2:3" x14ac:dyDescent="0.35">
      <c r="B357" s="1" t="s">
        <v>354</v>
      </c>
      <c r="C357" s="3" t="s">
        <v>1</v>
      </c>
    </row>
    <row r="358" spans="2:3" x14ac:dyDescent="0.35">
      <c r="B358" s="1" t="s">
        <v>355</v>
      </c>
      <c r="C358" s="3" t="s">
        <v>1</v>
      </c>
    </row>
    <row r="359" spans="2:3" x14ac:dyDescent="0.35">
      <c r="B359" s="1" t="s">
        <v>356</v>
      </c>
      <c r="C359" s="3" t="s">
        <v>1</v>
      </c>
    </row>
    <row r="360" spans="2:3" x14ac:dyDescent="0.35">
      <c r="B360" s="1" t="s">
        <v>357</v>
      </c>
      <c r="C360" s="3" t="s">
        <v>1</v>
      </c>
    </row>
    <row r="361" spans="2:3" x14ac:dyDescent="0.35">
      <c r="B361" s="1" t="s">
        <v>358</v>
      </c>
      <c r="C361" s="3" t="s">
        <v>1</v>
      </c>
    </row>
    <row r="362" spans="2:3" x14ac:dyDescent="0.35">
      <c r="B362" s="1" t="s">
        <v>359</v>
      </c>
      <c r="C362" s="3" t="s">
        <v>1</v>
      </c>
    </row>
    <row r="363" spans="2:3" x14ac:dyDescent="0.35">
      <c r="B363" s="1" t="s">
        <v>360</v>
      </c>
      <c r="C363" s="3" t="s">
        <v>1</v>
      </c>
    </row>
    <row r="364" spans="2:3" x14ac:dyDescent="0.35">
      <c r="B364" s="1" t="s">
        <v>361</v>
      </c>
      <c r="C364" s="3" t="s">
        <v>1</v>
      </c>
    </row>
    <row r="365" spans="2:3" x14ac:dyDescent="0.35">
      <c r="B365" s="1" t="s">
        <v>362</v>
      </c>
      <c r="C365" s="3" t="s">
        <v>1</v>
      </c>
    </row>
    <row r="366" spans="2:3" x14ac:dyDescent="0.35">
      <c r="B366" s="1" t="s">
        <v>363</v>
      </c>
      <c r="C366" s="3" t="s">
        <v>1</v>
      </c>
    </row>
    <row r="367" spans="2:3" x14ac:dyDescent="0.35">
      <c r="B367" s="1" t="s">
        <v>364</v>
      </c>
      <c r="C367" s="3" t="s">
        <v>1</v>
      </c>
    </row>
    <row r="368" spans="2:3" x14ac:dyDescent="0.35">
      <c r="B368" s="1" t="s">
        <v>365</v>
      </c>
      <c r="C368" s="3" t="s">
        <v>1</v>
      </c>
    </row>
    <row r="369" spans="2:3" x14ac:dyDescent="0.35">
      <c r="B369" s="1" t="s">
        <v>366</v>
      </c>
      <c r="C369" s="3" t="s">
        <v>1</v>
      </c>
    </row>
    <row r="370" spans="2:3" x14ac:dyDescent="0.35">
      <c r="B370" s="1" t="s">
        <v>367</v>
      </c>
      <c r="C370" s="3" t="s">
        <v>1</v>
      </c>
    </row>
    <row r="371" spans="2:3" x14ac:dyDescent="0.35">
      <c r="B371" s="1" t="s">
        <v>368</v>
      </c>
      <c r="C371" s="3" t="s">
        <v>1</v>
      </c>
    </row>
    <row r="372" spans="2:3" x14ac:dyDescent="0.35">
      <c r="B372" s="1" t="s">
        <v>369</v>
      </c>
      <c r="C372" s="3" t="s">
        <v>1</v>
      </c>
    </row>
    <row r="373" spans="2:3" x14ac:dyDescent="0.35">
      <c r="B373" s="1" t="s">
        <v>370</v>
      </c>
      <c r="C373" s="3" t="s">
        <v>1</v>
      </c>
    </row>
    <row r="374" spans="2:3" x14ac:dyDescent="0.35">
      <c r="B374" s="1" t="s">
        <v>371</v>
      </c>
      <c r="C374" s="3" t="s">
        <v>1</v>
      </c>
    </row>
    <row r="375" spans="2:3" x14ac:dyDescent="0.35">
      <c r="B375" s="1" t="s">
        <v>372</v>
      </c>
      <c r="C375" s="3" t="s">
        <v>1</v>
      </c>
    </row>
    <row r="376" spans="2:3" x14ac:dyDescent="0.35">
      <c r="B376" s="1" t="s">
        <v>373</v>
      </c>
      <c r="C376" s="3" t="s">
        <v>1</v>
      </c>
    </row>
    <row r="377" spans="2:3" x14ac:dyDescent="0.35">
      <c r="B377" s="1" t="s">
        <v>374</v>
      </c>
      <c r="C377" s="3" t="s">
        <v>1</v>
      </c>
    </row>
    <row r="378" spans="2:3" x14ac:dyDescent="0.35">
      <c r="B378" s="1" t="s">
        <v>375</v>
      </c>
      <c r="C378" s="3" t="s">
        <v>1</v>
      </c>
    </row>
    <row r="379" spans="2:3" x14ac:dyDescent="0.35">
      <c r="B379" s="1" t="s">
        <v>376</v>
      </c>
      <c r="C379" s="3" t="s">
        <v>1</v>
      </c>
    </row>
    <row r="380" spans="2:3" x14ac:dyDescent="0.35">
      <c r="B380" s="1" t="s">
        <v>377</v>
      </c>
      <c r="C380" s="3" t="s">
        <v>1</v>
      </c>
    </row>
    <row r="381" spans="2:3" x14ac:dyDescent="0.35">
      <c r="B381" s="1" t="s">
        <v>378</v>
      </c>
      <c r="C381" s="3" t="s">
        <v>1</v>
      </c>
    </row>
    <row r="382" spans="2:3" x14ac:dyDescent="0.35">
      <c r="B382" s="1" t="s">
        <v>379</v>
      </c>
      <c r="C382" s="3" t="s">
        <v>1</v>
      </c>
    </row>
    <row r="383" spans="2:3" x14ac:dyDescent="0.35">
      <c r="B383" s="1" t="s">
        <v>380</v>
      </c>
      <c r="C383" s="3" t="s">
        <v>1</v>
      </c>
    </row>
    <row r="384" spans="2:3" x14ac:dyDescent="0.35">
      <c r="B384" s="1" t="s">
        <v>381</v>
      </c>
      <c r="C384" s="3" t="s">
        <v>1</v>
      </c>
    </row>
    <row r="385" spans="2:3" x14ac:dyDescent="0.35">
      <c r="B385" s="1" t="s">
        <v>382</v>
      </c>
      <c r="C385" s="3" t="s">
        <v>1</v>
      </c>
    </row>
    <row r="386" spans="2:3" x14ac:dyDescent="0.35">
      <c r="B386" s="1" t="s">
        <v>383</v>
      </c>
      <c r="C386" s="3" t="s">
        <v>1</v>
      </c>
    </row>
    <row r="387" spans="2:3" x14ac:dyDescent="0.35">
      <c r="B387" s="1" t="s">
        <v>384</v>
      </c>
      <c r="C387" s="3" t="s">
        <v>1</v>
      </c>
    </row>
    <row r="388" spans="2:3" x14ac:dyDescent="0.35">
      <c r="B388" s="1" t="s">
        <v>385</v>
      </c>
      <c r="C388" s="3" t="s">
        <v>1</v>
      </c>
    </row>
    <row r="389" spans="2:3" x14ac:dyDescent="0.35">
      <c r="B389" s="1" t="s">
        <v>386</v>
      </c>
      <c r="C389" s="3" t="s">
        <v>1</v>
      </c>
    </row>
    <row r="390" spans="2:3" x14ac:dyDescent="0.35">
      <c r="B390" s="1" t="s">
        <v>387</v>
      </c>
      <c r="C390" s="3" t="s">
        <v>1</v>
      </c>
    </row>
    <row r="391" spans="2:3" x14ac:dyDescent="0.35">
      <c r="B391" s="1" t="s">
        <v>388</v>
      </c>
      <c r="C391" s="3" t="s">
        <v>1</v>
      </c>
    </row>
    <row r="392" spans="2:3" x14ac:dyDescent="0.35">
      <c r="B392" s="1" t="s">
        <v>389</v>
      </c>
      <c r="C392" s="3" t="s">
        <v>1</v>
      </c>
    </row>
    <row r="393" spans="2:3" x14ac:dyDescent="0.35">
      <c r="B393" s="1" t="s">
        <v>390</v>
      </c>
      <c r="C393" s="3" t="s">
        <v>1</v>
      </c>
    </row>
    <row r="394" spans="2:3" x14ac:dyDescent="0.35">
      <c r="B394" s="1" t="s">
        <v>391</v>
      </c>
      <c r="C394" s="3" t="s">
        <v>1</v>
      </c>
    </row>
    <row r="395" spans="2:3" x14ac:dyDescent="0.35">
      <c r="B395" s="1" t="s">
        <v>392</v>
      </c>
      <c r="C395" s="3" t="s">
        <v>1</v>
      </c>
    </row>
    <row r="396" spans="2:3" x14ac:dyDescent="0.35">
      <c r="B396" s="1" t="s">
        <v>393</v>
      </c>
      <c r="C396" s="3" t="s">
        <v>1</v>
      </c>
    </row>
    <row r="397" spans="2:3" x14ac:dyDescent="0.35">
      <c r="B397" s="1" t="s">
        <v>394</v>
      </c>
      <c r="C397" s="3" t="s">
        <v>1</v>
      </c>
    </row>
    <row r="398" spans="2:3" x14ac:dyDescent="0.35">
      <c r="B398" s="1" t="s">
        <v>395</v>
      </c>
      <c r="C398" s="3" t="s">
        <v>1</v>
      </c>
    </row>
    <row r="399" spans="2:3" x14ac:dyDescent="0.35">
      <c r="B399" s="1" t="s">
        <v>396</v>
      </c>
      <c r="C399" s="3" t="s">
        <v>1</v>
      </c>
    </row>
    <row r="400" spans="2:3" x14ac:dyDescent="0.35">
      <c r="B400" s="1" t="s">
        <v>397</v>
      </c>
      <c r="C400" s="3" t="s">
        <v>1</v>
      </c>
    </row>
    <row r="401" spans="2:3" x14ac:dyDescent="0.35">
      <c r="B401" s="1" t="s">
        <v>398</v>
      </c>
      <c r="C401" s="3" t="s">
        <v>1</v>
      </c>
    </row>
    <row r="402" spans="2:3" x14ac:dyDescent="0.35">
      <c r="B402" s="1" t="s">
        <v>399</v>
      </c>
      <c r="C402" s="3" t="s">
        <v>1</v>
      </c>
    </row>
    <row r="403" spans="2:3" x14ac:dyDescent="0.35">
      <c r="B403" s="1" t="s">
        <v>400</v>
      </c>
      <c r="C403" s="3" t="s">
        <v>1</v>
      </c>
    </row>
    <row r="404" spans="2:3" x14ac:dyDescent="0.35">
      <c r="B404" s="1" t="s">
        <v>401</v>
      </c>
      <c r="C404" s="3" t="s">
        <v>1</v>
      </c>
    </row>
    <row r="405" spans="2:3" x14ac:dyDescent="0.35">
      <c r="B405" s="1" t="s">
        <v>402</v>
      </c>
      <c r="C405" s="3" t="s">
        <v>1</v>
      </c>
    </row>
    <row r="406" spans="2:3" x14ac:dyDescent="0.35">
      <c r="B406" s="1" t="s">
        <v>403</v>
      </c>
      <c r="C406" s="3" t="s">
        <v>1</v>
      </c>
    </row>
    <row r="407" spans="2:3" x14ac:dyDescent="0.35">
      <c r="B407" s="1" t="s">
        <v>404</v>
      </c>
      <c r="C407" s="3" t="s">
        <v>1</v>
      </c>
    </row>
    <row r="408" spans="2:3" x14ac:dyDescent="0.35">
      <c r="B408" s="1" t="s">
        <v>405</v>
      </c>
      <c r="C408" s="3" t="s">
        <v>1</v>
      </c>
    </row>
    <row r="409" spans="2:3" x14ac:dyDescent="0.35">
      <c r="B409" s="1" t="s">
        <v>406</v>
      </c>
      <c r="C409" s="3" t="s">
        <v>1</v>
      </c>
    </row>
    <row r="410" spans="2:3" x14ac:dyDescent="0.35">
      <c r="B410" s="1" t="s">
        <v>407</v>
      </c>
      <c r="C410" s="3" t="s">
        <v>1</v>
      </c>
    </row>
    <row r="411" spans="2:3" x14ac:dyDescent="0.35">
      <c r="B411" s="1" t="s">
        <v>408</v>
      </c>
      <c r="C411" s="3" t="s">
        <v>1</v>
      </c>
    </row>
    <row r="412" spans="2:3" x14ac:dyDescent="0.35">
      <c r="B412" s="1" t="s">
        <v>409</v>
      </c>
      <c r="C412" s="3" t="s">
        <v>1</v>
      </c>
    </row>
    <row r="413" spans="2:3" x14ac:dyDescent="0.35">
      <c r="B413" s="1" t="s">
        <v>410</v>
      </c>
      <c r="C413" s="3" t="s">
        <v>1</v>
      </c>
    </row>
    <row r="414" spans="2:3" x14ac:dyDescent="0.35">
      <c r="B414" s="1" t="s">
        <v>411</v>
      </c>
      <c r="C414" s="3" t="s">
        <v>1</v>
      </c>
    </row>
    <row r="415" spans="2:3" x14ac:dyDescent="0.35">
      <c r="B415" s="1" t="s">
        <v>412</v>
      </c>
      <c r="C415" s="3" t="s">
        <v>1</v>
      </c>
    </row>
    <row r="416" spans="2:3" x14ac:dyDescent="0.35">
      <c r="B416" s="1" t="s">
        <v>413</v>
      </c>
      <c r="C416" s="3" t="s">
        <v>1</v>
      </c>
    </row>
    <row r="417" spans="2:3" x14ac:dyDescent="0.35">
      <c r="B417" s="1" t="s">
        <v>414</v>
      </c>
      <c r="C417" s="3" t="s">
        <v>1</v>
      </c>
    </row>
    <row r="418" spans="2:3" x14ac:dyDescent="0.35">
      <c r="B418" s="1" t="s">
        <v>415</v>
      </c>
      <c r="C418" s="3" t="s">
        <v>1</v>
      </c>
    </row>
    <row r="419" spans="2:3" x14ac:dyDescent="0.35">
      <c r="B419" s="1" t="s">
        <v>416</v>
      </c>
      <c r="C419" s="3" t="s">
        <v>1</v>
      </c>
    </row>
    <row r="420" spans="2:3" x14ac:dyDescent="0.35">
      <c r="B420" s="1" t="s">
        <v>417</v>
      </c>
      <c r="C420" s="3" t="s">
        <v>1</v>
      </c>
    </row>
    <row r="421" spans="2:3" x14ac:dyDescent="0.35">
      <c r="B421" s="1" t="s">
        <v>418</v>
      </c>
      <c r="C421" s="3" t="s">
        <v>1</v>
      </c>
    </row>
    <row r="422" spans="2:3" x14ac:dyDescent="0.35">
      <c r="B422" s="1" t="s">
        <v>419</v>
      </c>
      <c r="C422" s="3" t="s">
        <v>1</v>
      </c>
    </row>
    <row r="423" spans="2:3" x14ac:dyDescent="0.35">
      <c r="B423" s="1" t="s">
        <v>420</v>
      </c>
      <c r="C423" s="3" t="s">
        <v>1</v>
      </c>
    </row>
    <row r="424" spans="2:3" x14ac:dyDescent="0.35">
      <c r="B424" s="1" t="s">
        <v>421</v>
      </c>
      <c r="C424" s="3" t="s">
        <v>1</v>
      </c>
    </row>
    <row r="425" spans="2:3" x14ac:dyDescent="0.35">
      <c r="B425" s="1" t="s">
        <v>422</v>
      </c>
      <c r="C425" s="3" t="s">
        <v>1</v>
      </c>
    </row>
    <row r="426" spans="2:3" x14ac:dyDescent="0.35">
      <c r="B426" s="1" t="s">
        <v>423</v>
      </c>
      <c r="C426" s="3" t="s">
        <v>1</v>
      </c>
    </row>
    <row r="427" spans="2:3" x14ac:dyDescent="0.35">
      <c r="B427" s="1" t="s">
        <v>424</v>
      </c>
      <c r="C427" s="3" t="s">
        <v>1</v>
      </c>
    </row>
    <row r="428" spans="2:3" x14ac:dyDescent="0.35">
      <c r="B428" s="1" t="s">
        <v>425</v>
      </c>
      <c r="C428" s="3" t="s">
        <v>1</v>
      </c>
    </row>
    <row r="429" spans="2:3" x14ac:dyDescent="0.35">
      <c r="B429" s="1" t="s">
        <v>426</v>
      </c>
      <c r="C429" s="3" t="s">
        <v>1</v>
      </c>
    </row>
    <row r="430" spans="2:3" x14ac:dyDescent="0.35">
      <c r="B430" s="1" t="s">
        <v>427</v>
      </c>
      <c r="C430" s="3" t="s">
        <v>1</v>
      </c>
    </row>
    <row r="431" spans="2:3" x14ac:dyDescent="0.35">
      <c r="B431" s="1" t="s">
        <v>428</v>
      </c>
      <c r="C431" s="3" t="s">
        <v>1</v>
      </c>
    </row>
    <row r="432" spans="2:3" x14ac:dyDescent="0.35">
      <c r="B432" s="1" t="s">
        <v>429</v>
      </c>
      <c r="C432" s="3" t="s">
        <v>1</v>
      </c>
    </row>
    <row r="433" spans="2:3" x14ac:dyDescent="0.35">
      <c r="B433" s="1" t="s">
        <v>430</v>
      </c>
      <c r="C433" s="3" t="s">
        <v>1</v>
      </c>
    </row>
    <row r="434" spans="2:3" x14ac:dyDescent="0.35">
      <c r="B434" s="1" t="s">
        <v>431</v>
      </c>
      <c r="C434" s="3" t="s">
        <v>1</v>
      </c>
    </row>
    <row r="435" spans="2:3" x14ac:dyDescent="0.35">
      <c r="B435" s="1" t="s">
        <v>432</v>
      </c>
      <c r="C435" s="3" t="s">
        <v>1</v>
      </c>
    </row>
    <row r="436" spans="2:3" x14ac:dyDescent="0.35">
      <c r="B436" s="1" t="s">
        <v>433</v>
      </c>
      <c r="C436" s="3" t="s">
        <v>1</v>
      </c>
    </row>
    <row r="437" spans="2:3" x14ac:dyDescent="0.35">
      <c r="B437" s="1" t="s">
        <v>434</v>
      </c>
      <c r="C437" s="3" t="s">
        <v>1</v>
      </c>
    </row>
    <row r="438" spans="2:3" x14ac:dyDescent="0.35">
      <c r="B438" s="1" t="s">
        <v>435</v>
      </c>
      <c r="C438" s="3" t="s">
        <v>1</v>
      </c>
    </row>
    <row r="439" spans="2:3" x14ac:dyDescent="0.35">
      <c r="B439" s="1" t="s">
        <v>436</v>
      </c>
      <c r="C439" s="3" t="s">
        <v>1</v>
      </c>
    </row>
    <row r="440" spans="2:3" x14ac:dyDescent="0.35">
      <c r="B440" s="1" t="s">
        <v>437</v>
      </c>
      <c r="C440" s="3" t="s">
        <v>1</v>
      </c>
    </row>
    <row r="441" spans="2:3" x14ac:dyDescent="0.35">
      <c r="B441" s="1" t="s">
        <v>438</v>
      </c>
      <c r="C441" s="3" t="s">
        <v>1</v>
      </c>
    </row>
    <row r="442" spans="2:3" x14ac:dyDescent="0.35">
      <c r="B442" s="1" t="s">
        <v>439</v>
      </c>
      <c r="C442" s="3" t="s">
        <v>1</v>
      </c>
    </row>
    <row r="443" spans="2:3" x14ac:dyDescent="0.35">
      <c r="B443" s="1" t="s">
        <v>440</v>
      </c>
      <c r="C443" s="3" t="s">
        <v>1</v>
      </c>
    </row>
    <row r="444" spans="2:3" x14ac:dyDescent="0.35">
      <c r="B444" s="1" t="s">
        <v>441</v>
      </c>
      <c r="C444" s="3" t="s">
        <v>1</v>
      </c>
    </row>
    <row r="445" spans="2:3" x14ac:dyDescent="0.35">
      <c r="B445" s="1" t="s">
        <v>442</v>
      </c>
      <c r="C445" s="3" t="s">
        <v>1</v>
      </c>
    </row>
    <row r="446" spans="2:3" x14ac:dyDescent="0.35">
      <c r="B446" s="1" t="s">
        <v>443</v>
      </c>
      <c r="C446" s="3" t="s">
        <v>1</v>
      </c>
    </row>
    <row r="447" spans="2:3" x14ac:dyDescent="0.35">
      <c r="B447" s="1" t="s">
        <v>444</v>
      </c>
      <c r="C447" s="3" t="s">
        <v>1</v>
      </c>
    </row>
    <row r="448" spans="2:3" x14ac:dyDescent="0.35">
      <c r="B448" s="1" t="s">
        <v>445</v>
      </c>
      <c r="C448" s="3" t="s">
        <v>1</v>
      </c>
    </row>
    <row r="449" spans="2:3" x14ac:dyDescent="0.35">
      <c r="B449" s="1" t="s">
        <v>446</v>
      </c>
      <c r="C449" s="3" t="s">
        <v>1</v>
      </c>
    </row>
    <row r="450" spans="2:3" x14ac:dyDescent="0.35">
      <c r="B450" s="1" t="s">
        <v>447</v>
      </c>
      <c r="C450" s="3" t="s">
        <v>1</v>
      </c>
    </row>
    <row r="451" spans="2:3" x14ac:dyDescent="0.35">
      <c r="B451" s="1" t="s">
        <v>448</v>
      </c>
      <c r="C451" s="3" t="s">
        <v>1</v>
      </c>
    </row>
    <row r="452" spans="2:3" x14ac:dyDescent="0.35">
      <c r="B452" s="1" t="s">
        <v>449</v>
      </c>
      <c r="C452" s="3" t="s">
        <v>1</v>
      </c>
    </row>
    <row r="453" spans="2:3" x14ac:dyDescent="0.35">
      <c r="B453" s="1" t="s">
        <v>450</v>
      </c>
      <c r="C453" s="3" t="s">
        <v>1</v>
      </c>
    </row>
    <row r="454" spans="2:3" x14ac:dyDescent="0.35">
      <c r="B454" s="1" t="s">
        <v>451</v>
      </c>
      <c r="C454" s="3" t="s">
        <v>1</v>
      </c>
    </row>
    <row r="455" spans="2:3" x14ac:dyDescent="0.35">
      <c r="B455" s="1" t="s">
        <v>452</v>
      </c>
      <c r="C455" s="3" t="s">
        <v>1</v>
      </c>
    </row>
    <row r="456" spans="2:3" x14ac:dyDescent="0.35">
      <c r="B456" s="1" t="s">
        <v>453</v>
      </c>
      <c r="C456" s="3" t="s">
        <v>1</v>
      </c>
    </row>
    <row r="457" spans="2:3" x14ac:dyDescent="0.35">
      <c r="B457" s="1" t="s">
        <v>454</v>
      </c>
      <c r="C457" s="3" t="s">
        <v>1</v>
      </c>
    </row>
    <row r="458" spans="2:3" x14ac:dyDescent="0.35">
      <c r="B458" s="1" t="s">
        <v>455</v>
      </c>
      <c r="C458" s="3" t="s">
        <v>1</v>
      </c>
    </row>
    <row r="459" spans="2:3" x14ac:dyDescent="0.35">
      <c r="B459" s="1" t="s">
        <v>456</v>
      </c>
      <c r="C459" s="3" t="s">
        <v>1</v>
      </c>
    </row>
    <row r="460" spans="2:3" x14ac:dyDescent="0.35">
      <c r="B460" s="1" t="s">
        <v>457</v>
      </c>
      <c r="C460" s="3" t="s">
        <v>1</v>
      </c>
    </row>
    <row r="461" spans="2:3" x14ac:dyDescent="0.35">
      <c r="B461" s="1" t="s">
        <v>458</v>
      </c>
      <c r="C461" s="3" t="s">
        <v>1</v>
      </c>
    </row>
    <row r="462" spans="2:3" x14ac:dyDescent="0.35">
      <c r="B462" s="1" t="s">
        <v>459</v>
      </c>
      <c r="C462" s="3" t="s">
        <v>1</v>
      </c>
    </row>
    <row r="463" spans="2:3" x14ac:dyDescent="0.35">
      <c r="B463" s="1" t="s">
        <v>460</v>
      </c>
      <c r="C463" s="3" t="s">
        <v>1</v>
      </c>
    </row>
    <row r="464" spans="2:3" x14ac:dyDescent="0.35">
      <c r="B464" s="1" t="s">
        <v>461</v>
      </c>
      <c r="C464" s="3" t="s">
        <v>1</v>
      </c>
    </row>
    <row r="465" spans="2:3" x14ac:dyDescent="0.35">
      <c r="B465" s="1" t="s">
        <v>462</v>
      </c>
      <c r="C465" s="3" t="s">
        <v>1</v>
      </c>
    </row>
    <row r="466" spans="2:3" x14ac:dyDescent="0.35">
      <c r="B466" s="1" t="s">
        <v>463</v>
      </c>
      <c r="C466" s="3" t="s">
        <v>1</v>
      </c>
    </row>
    <row r="467" spans="2:3" x14ac:dyDescent="0.35">
      <c r="B467" s="1" t="s">
        <v>464</v>
      </c>
      <c r="C467" s="3" t="s">
        <v>1</v>
      </c>
    </row>
    <row r="468" spans="2:3" x14ac:dyDescent="0.35">
      <c r="B468" s="1" t="s">
        <v>465</v>
      </c>
      <c r="C468" s="3" t="s">
        <v>1</v>
      </c>
    </row>
    <row r="469" spans="2:3" x14ac:dyDescent="0.35">
      <c r="B469" s="1" t="s">
        <v>466</v>
      </c>
      <c r="C469" s="3" t="s">
        <v>1</v>
      </c>
    </row>
    <row r="470" spans="2:3" x14ac:dyDescent="0.35">
      <c r="B470" s="1" t="s">
        <v>467</v>
      </c>
      <c r="C470" s="3" t="s">
        <v>1</v>
      </c>
    </row>
    <row r="471" spans="2:3" x14ac:dyDescent="0.35">
      <c r="B471" s="1" t="s">
        <v>468</v>
      </c>
      <c r="C471" s="3" t="s">
        <v>1</v>
      </c>
    </row>
    <row r="472" spans="2:3" x14ac:dyDescent="0.35">
      <c r="B472" s="1" t="s">
        <v>469</v>
      </c>
      <c r="C472" s="3" t="s">
        <v>1</v>
      </c>
    </row>
    <row r="473" spans="2:3" x14ac:dyDescent="0.35">
      <c r="B473" s="1" t="s">
        <v>470</v>
      </c>
      <c r="C473" s="3" t="s">
        <v>1</v>
      </c>
    </row>
    <row r="474" spans="2:3" x14ac:dyDescent="0.35">
      <c r="B474" s="1" t="s">
        <v>471</v>
      </c>
      <c r="C474" s="3" t="s">
        <v>1</v>
      </c>
    </row>
    <row r="475" spans="2:3" x14ac:dyDescent="0.35">
      <c r="B475" s="1" t="s">
        <v>472</v>
      </c>
      <c r="C475" s="3" t="s">
        <v>1</v>
      </c>
    </row>
    <row r="476" spans="2:3" x14ac:dyDescent="0.35">
      <c r="B476" s="1" t="s">
        <v>473</v>
      </c>
      <c r="C476" s="3" t="s">
        <v>1</v>
      </c>
    </row>
    <row r="477" spans="2:3" x14ac:dyDescent="0.35">
      <c r="B477" s="1" t="s">
        <v>474</v>
      </c>
      <c r="C477" s="3" t="s">
        <v>1</v>
      </c>
    </row>
    <row r="478" spans="2:3" x14ac:dyDescent="0.35">
      <c r="B478" s="1" t="s">
        <v>475</v>
      </c>
      <c r="C478" s="3" t="s">
        <v>1</v>
      </c>
    </row>
    <row r="479" spans="2:3" x14ac:dyDescent="0.35">
      <c r="B479" s="1" t="s">
        <v>476</v>
      </c>
      <c r="C479" s="3" t="s">
        <v>1</v>
      </c>
    </row>
    <row r="480" spans="2:3" x14ac:dyDescent="0.35">
      <c r="B480" s="1" t="s">
        <v>477</v>
      </c>
      <c r="C480" s="3" t="s">
        <v>1</v>
      </c>
    </row>
    <row r="481" spans="2:3" x14ac:dyDescent="0.35">
      <c r="B481" s="1" t="s">
        <v>478</v>
      </c>
      <c r="C481" s="3" t="s">
        <v>1</v>
      </c>
    </row>
    <row r="482" spans="2:3" x14ac:dyDescent="0.35">
      <c r="B482" s="1" t="s">
        <v>479</v>
      </c>
      <c r="C482" s="3" t="s">
        <v>1</v>
      </c>
    </row>
    <row r="483" spans="2:3" x14ac:dyDescent="0.35">
      <c r="B483" s="1" t="s">
        <v>480</v>
      </c>
      <c r="C483" s="3" t="s">
        <v>1</v>
      </c>
    </row>
    <row r="484" spans="2:3" x14ac:dyDescent="0.35">
      <c r="B484" s="1" t="s">
        <v>481</v>
      </c>
      <c r="C484" s="3" t="s">
        <v>1</v>
      </c>
    </row>
    <row r="485" spans="2:3" x14ac:dyDescent="0.35">
      <c r="B485" s="1" t="s">
        <v>482</v>
      </c>
      <c r="C485" s="3" t="s">
        <v>1</v>
      </c>
    </row>
    <row r="486" spans="2:3" x14ac:dyDescent="0.35">
      <c r="B486" s="1" t="s">
        <v>483</v>
      </c>
      <c r="C486" s="3" t="s">
        <v>1</v>
      </c>
    </row>
    <row r="487" spans="2:3" x14ac:dyDescent="0.35">
      <c r="B487" s="1" t="s">
        <v>484</v>
      </c>
      <c r="C487" s="3" t="s">
        <v>1</v>
      </c>
    </row>
    <row r="488" spans="2:3" x14ac:dyDescent="0.35">
      <c r="B488" s="1" t="s">
        <v>485</v>
      </c>
      <c r="C488" s="3" t="s">
        <v>1</v>
      </c>
    </row>
    <row r="489" spans="2:3" x14ac:dyDescent="0.35">
      <c r="B489" s="1" t="s">
        <v>486</v>
      </c>
      <c r="C489" s="3" t="s">
        <v>1</v>
      </c>
    </row>
    <row r="490" spans="2:3" x14ac:dyDescent="0.35">
      <c r="B490" s="1" t="s">
        <v>487</v>
      </c>
      <c r="C490" s="3" t="s">
        <v>1</v>
      </c>
    </row>
    <row r="491" spans="2:3" x14ac:dyDescent="0.35">
      <c r="B491" s="1" t="s">
        <v>488</v>
      </c>
      <c r="C491" s="3" t="s">
        <v>1</v>
      </c>
    </row>
    <row r="492" spans="2:3" x14ac:dyDescent="0.35">
      <c r="B492" s="1" t="s">
        <v>489</v>
      </c>
      <c r="C492" s="3" t="s">
        <v>1</v>
      </c>
    </row>
    <row r="493" spans="2:3" x14ac:dyDescent="0.35">
      <c r="B493" s="1" t="s">
        <v>490</v>
      </c>
      <c r="C493" s="3" t="s">
        <v>1</v>
      </c>
    </row>
    <row r="494" spans="2:3" x14ac:dyDescent="0.35">
      <c r="B494" s="1" t="s">
        <v>491</v>
      </c>
      <c r="C494" s="3" t="s">
        <v>1</v>
      </c>
    </row>
    <row r="495" spans="2:3" x14ac:dyDescent="0.35">
      <c r="B495" s="1" t="s">
        <v>492</v>
      </c>
      <c r="C495" s="3" t="s">
        <v>1</v>
      </c>
    </row>
    <row r="496" spans="2:3" x14ac:dyDescent="0.35">
      <c r="B496" s="1" t="s">
        <v>493</v>
      </c>
      <c r="C496" s="3" t="s">
        <v>1</v>
      </c>
    </row>
    <row r="497" spans="2:3" x14ac:dyDescent="0.35">
      <c r="B497" s="1" t="s">
        <v>494</v>
      </c>
      <c r="C497" s="3" t="s">
        <v>1</v>
      </c>
    </row>
    <row r="498" spans="2:3" x14ac:dyDescent="0.35">
      <c r="B498" s="1" t="s">
        <v>495</v>
      </c>
      <c r="C498" s="3" t="s">
        <v>1</v>
      </c>
    </row>
    <row r="499" spans="2:3" x14ac:dyDescent="0.35">
      <c r="B499" s="1" t="s">
        <v>496</v>
      </c>
      <c r="C499" s="3" t="s">
        <v>1</v>
      </c>
    </row>
    <row r="500" spans="2:3" x14ac:dyDescent="0.35">
      <c r="B500" s="1" t="s">
        <v>497</v>
      </c>
      <c r="C500" s="3" t="s">
        <v>1</v>
      </c>
    </row>
    <row r="501" spans="2:3" x14ac:dyDescent="0.35">
      <c r="B501" s="1" t="s">
        <v>498</v>
      </c>
      <c r="C501" s="3" t="s">
        <v>1</v>
      </c>
    </row>
    <row r="502" spans="2:3" x14ac:dyDescent="0.35">
      <c r="B502" s="1" t="s">
        <v>499</v>
      </c>
      <c r="C502" s="3" t="s">
        <v>1</v>
      </c>
    </row>
    <row r="503" spans="2:3" x14ac:dyDescent="0.35">
      <c r="B503" s="1" t="s">
        <v>500</v>
      </c>
      <c r="C503" s="3" t="s">
        <v>1</v>
      </c>
    </row>
    <row r="504" spans="2:3" x14ac:dyDescent="0.35">
      <c r="B504" s="1" t="s">
        <v>501</v>
      </c>
      <c r="C504" s="3" t="s">
        <v>1</v>
      </c>
    </row>
    <row r="505" spans="2:3" x14ac:dyDescent="0.35">
      <c r="B505" s="1" t="s">
        <v>502</v>
      </c>
      <c r="C505" s="3" t="s">
        <v>1</v>
      </c>
    </row>
    <row r="506" spans="2:3" x14ac:dyDescent="0.35">
      <c r="B506" s="1" t="s">
        <v>503</v>
      </c>
      <c r="C506" s="3" t="s">
        <v>1</v>
      </c>
    </row>
    <row r="507" spans="2:3" x14ac:dyDescent="0.35">
      <c r="B507" s="1" t="s">
        <v>504</v>
      </c>
      <c r="C507" s="3" t="s">
        <v>1</v>
      </c>
    </row>
    <row r="508" spans="2:3" x14ac:dyDescent="0.35">
      <c r="B508" s="1" t="s">
        <v>505</v>
      </c>
      <c r="C508" s="3" t="s">
        <v>1</v>
      </c>
    </row>
    <row r="509" spans="2:3" x14ac:dyDescent="0.35">
      <c r="B509" s="1" t="s">
        <v>506</v>
      </c>
      <c r="C509" s="3" t="s">
        <v>1</v>
      </c>
    </row>
    <row r="510" spans="2:3" x14ac:dyDescent="0.35">
      <c r="B510" s="1" t="s">
        <v>507</v>
      </c>
      <c r="C510" s="3" t="s">
        <v>1</v>
      </c>
    </row>
    <row r="511" spans="2:3" x14ac:dyDescent="0.35">
      <c r="B511" s="1" t="s">
        <v>508</v>
      </c>
      <c r="C511" s="3" t="s">
        <v>1</v>
      </c>
    </row>
    <row r="512" spans="2:3" x14ac:dyDescent="0.35">
      <c r="B512" s="1" t="s">
        <v>509</v>
      </c>
      <c r="C512" s="3" t="s">
        <v>1</v>
      </c>
    </row>
    <row r="513" spans="2:3" x14ac:dyDescent="0.35">
      <c r="B513" s="1" t="s">
        <v>510</v>
      </c>
      <c r="C513" s="3" t="s">
        <v>1</v>
      </c>
    </row>
    <row r="514" spans="2:3" x14ac:dyDescent="0.35">
      <c r="B514" s="1" t="s">
        <v>511</v>
      </c>
      <c r="C514" s="3" t="s">
        <v>1</v>
      </c>
    </row>
    <row r="515" spans="2:3" x14ac:dyDescent="0.35">
      <c r="B515" s="1" t="s">
        <v>512</v>
      </c>
      <c r="C515" s="3" t="s">
        <v>1</v>
      </c>
    </row>
    <row r="516" spans="2:3" x14ac:dyDescent="0.35">
      <c r="B516" s="1" t="s">
        <v>513</v>
      </c>
      <c r="C516" s="3" t="s">
        <v>1</v>
      </c>
    </row>
    <row r="517" spans="2:3" x14ac:dyDescent="0.35">
      <c r="B517" s="1" t="s">
        <v>514</v>
      </c>
      <c r="C517" s="3" t="s">
        <v>1</v>
      </c>
    </row>
    <row r="518" spans="2:3" x14ac:dyDescent="0.35">
      <c r="B518" s="1" t="s">
        <v>515</v>
      </c>
      <c r="C518" s="3" t="s">
        <v>1</v>
      </c>
    </row>
    <row r="519" spans="2:3" x14ac:dyDescent="0.35">
      <c r="B519" s="1" t="s">
        <v>516</v>
      </c>
      <c r="C519" s="3" t="s">
        <v>1</v>
      </c>
    </row>
    <row r="520" spans="2:3" x14ac:dyDescent="0.35">
      <c r="B520" s="1" t="s">
        <v>517</v>
      </c>
      <c r="C520" s="3" t="s">
        <v>1</v>
      </c>
    </row>
    <row r="521" spans="2:3" x14ac:dyDescent="0.35">
      <c r="B521" s="1" t="s">
        <v>518</v>
      </c>
      <c r="C521" s="3" t="s">
        <v>1</v>
      </c>
    </row>
    <row r="522" spans="2:3" x14ac:dyDescent="0.35">
      <c r="B522" s="1" t="s">
        <v>519</v>
      </c>
      <c r="C522" s="3" t="s">
        <v>1</v>
      </c>
    </row>
    <row r="523" spans="2:3" x14ac:dyDescent="0.35">
      <c r="B523" s="1" t="s">
        <v>520</v>
      </c>
      <c r="C523" s="3" t="s">
        <v>1</v>
      </c>
    </row>
    <row r="524" spans="2:3" x14ac:dyDescent="0.35">
      <c r="B524" s="1" t="s">
        <v>521</v>
      </c>
      <c r="C524" s="3" t="s">
        <v>1</v>
      </c>
    </row>
    <row r="525" spans="2:3" x14ac:dyDescent="0.35">
      <c r="B525" s="1" t="s">
        <v>522</v>
      </c>
      <c r="C525" s="3" t="s">
        <v>1</v>
      </c>
    </row>
    <row r="526" spans="2:3" x14ac:dyDescent="0.35">
      <c r="B526" s="1" t="s">
        <v>523</v>
      </c>
      <c r="C526" s="3" t="s">
        <v>1</v>
      </c>
    </row>
    <row r="527" spans="2:3" x14ac:dyDescent="0.35">
      <c r="B527" s="1" t="s">
        <v>524</v>
      </c>
      <c r="C527" s="3" t="s">
        <v>1</v>
      </c>
    </row>
    <row r="528" spans="2:3" x14ac:dyDescent="0.35">
      <c r="B528" s="1" t="s">
        <v>525</v>
      </c>
      <c r="C528" s="3" t="s">
        <v>1</v>
      </c>
    </row>
    <row r="529" spans="2:3" x14ac:dyDescent="0.35">
      <c r="B529" s="1" t="s">
        <v>526</v>
      </c>
      <c r="C529" s="3" t="s">
        <v>1</v>
      </c>
    </row>
    <row r="530" spans="2:3" x14ac:dyDescent="0.35">
      <c r="B530" s="1" t="s">
        <v>527</v>
      </c>
      <c r="C530" s="3" t="s">
        <v>1</v>
      </c>
    </row>
    <row r="531" spans="2:3" x14ac:dyDescent="0.35">
      <c r="B531" s="1" t="s">
        <v>528</v>
      </c>
      <c r="C531" s="3" t="s">
        <v>1</v>
      </c>
    </row>
    <row r="532" spans="2:3" x14ac:dyDescent="0.35">
      <c r="B532" s="1" t="s">
        <v>529</v>
      </c>
      <c r="C532" s="3" t="s">
        <v>1</v>
      </c>
    </row>
    <row r="533" spans="2:3" x14ac:dyDescent="0.35">
      <c r="B533" s="1" t="s">
        <v>530</v>
      </c>
      <c r="C533" s="3" t="s">
        <v>1</v>
      </c>
    </row>
    <row r="534" spans="2:3" x14ac:dyDescent="0.35">
      <c r="B534" s="1" t="s">
        <v>531</v>
      </c>
      <c r="C534" s="3" t="s">
        <v>1</v>
      </c>
    </row>
    <row r="535" spans="2:3" x14ac:dyDescent="0.35">
      <c r="B535" s="1" t="s">
        <v>532</v>
      </c>
      <c r="C535" s="3" t="s">
        <v>1</v>
      </c>
    </row>
    <row r="536" spans="2:3" x14ac:dyDescent="0.35">
      <c r="B536" s="1" t="s">
        <v>533</v>
      </c>
      <c r="C536" s="3" t="s">
        <v>1</v>
      </c>
    </row>
    <row r="537" spans="2:3" x14ac:dyDescent="0.35">
      <c r="B537" s="1" t="s">
        <v>534</v>
      </c>
      <c r="C537" s="3" t="s">
        <v>1</v>
      </c>
    </row>
    <row r="538" spans="2:3" x14ac:dyDescent="0.35">
      <c r="B538" s="1" t="s">
        <v>535</v>
      </c>
      <c r="C538" s="3" t="s">
        <v>1</v>
      </c>
    </row>
    <row r="539" spans="2:3" x14ac:dyDescent="0.35">
      <c r="B539" s="1" t="s">
        <v>536</v>
      </c>
      <c r="C539" s="3" t="s">
        <v>1</v>
      </c>
    </row>
    <row r="540" spans="2:3" x14ac:dyDescent="0.35">
      <c r="B540" s="1" t="s">
        <v>537</v>
      </c>
      <c r="C540" s="3" t="s">
        <v>1</v>
      </c>
    </row>
    <row r="541" spans="2:3" x14ac:dyDescent="0.35">
      <c r="B541" s="1" t="s">
        <v>538</v>
      </c>
      <c r="C541" s="3" t="s">
        <v>1</v>
      </c>
    </row>
    <row r="542" spans="2:3" x14ac:dyDescent="0.35">
      <c r="B542" s="1" t="s">
        <v>539</v>
      </c>
      <c r="C542" s="3" t="s">
        <v>1</v>
      </c>
    </row>
    <row r="543" spans="2:3" x14ac:dyDescent="0.35">
      <c r="B543" s="1" t="s">
        <v>540</v>
      </c>
      <c r="C543" s="3" t="s">
        <v>1</v>
      </c>
    </row>
    <row r="544" spans="2:3" x14ac:dyDescent="0.35">
      <c r="B544" s="1" t="s">
        <v>541</v>
      </c>
      <c r="C544" s="3" t="s">
        <v>1</v>
      </c>
    </row>
    <row r="545" spans="2:3" x14ac:dyDescent="0.35">
      <c r="B545" s="1" t="s">
        <v>542</v>
      </c>
      <c r="C545" s="3" t="s">
        <v>1</v>
      </c>
    </row>
    <row r="546" spans="2:3" x14ac:dyDescent="0.35">
      <c r="B546" s="1" t="s">
        <v>543</v>
      </c>
      <c r="C546" s="3" t="s">
        <v>1</v>
      </c>
    </row>
    <row r="547" spans="2:3" x14ac:dyDescent="0.35">
      <c r="B547" s="1" t="s">
        <v>544</v>
      </c>
      <c r="C547" s="3" t="s">
        <v>1</v>
      </c>
    </row>
    <row r="548" spans="2:3" x14ac:dyDescent="0.35">
      <c r="B548" s="1" t="s">
        <v>545</v>
      </c>
      <c r="C548" s="3" t="s">
        <v>1</v>
      </c>
    </row>
    <row r="549" spans="2:3" x14ac:dyDescent="0.35">
      <c r="B549" s="1" t="s">
        <v>546</v>
      </c>
      <c r="C549" s="3" t="s">
        <v>1</v>
      </c>
    </row>
    <row r="550" spans="2:3" x14ac:dyDescent="0.35">
      <c r="B550" s="1" t="s">
        <v>547</v>
      </c>
      <c r="C550" s="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tabSelected="1" workbookViewId="0"/>
  </sheetViews>
  <sheetFormatPr defaultRowHeight="14.5" x14ac:dyDescent="0.35"/>
  <sheetData>
    <row r="1" spans="1:4" x14ac:dyDescent="0.35">
      <c r="A1" t="s">
        <v>548</v>
      </c>
      <c r="B1" t="s">
        <v>549</v>
      </c>
      <c r="C1" t="s">
        <v>550</v>
      </c>
      <c r="D1" t="s">
        <v>551</v>
      </c>
    </row>
    <row r="2" spans="1:4" x14ac:dyDescent="0.35">
      <c r="A2" t="s">
        <v>552</v>
      </c>
      <c r="C2" t="s">
        <v>553</v>
      </c>
      <c r="D2" t="s">
        <v>554</v>
      </c>
    </row>
    <row r="3" spans="1:4" x14ac:dyDescent="0.35">
      <c r="A3" t="s">
        <v>555</v>
      </c>
      <c r="B3" t="s">
        <v>556</v>
      </c>
      <c r="C3" t="s">
        <v>557</v>
      </c>
    </row>
    <row r="4" spans="1:4" x14ac:dyDescent="0.35">
      <c r="A4" t="s">
        <v>558</v>
      </c>
      <c r="C4" t="s">
        <v>559</v>
      </c>
    </row>
    <row r="5" spans="1:4" x14ac:dyDescent="0.35">
      <c r="A5" t="s">
        <v>560</v>
      </c>
      <c r="C5" t="s">
        <v>561</v>
      </c>
    </row>
    <row r="6" spans="1:4" x14ac:dyDescent="0.35">
      <c r="A6" t="s">
        <v>562</v>
      </c>
    </row>
    <row r="7" spans="1:4" x14ac:dyDescent="0.35">
      <c r="A7">
        <v>123.5</v>
      </c>
    </row>
    <row r="8" spans="1:4" x14ac:dyDescent="0.35">
      <c r="A8" t="b">
        <f>TRUE</f>
        <v>1</v>
      </c>
    </row>
    <row r="9" spans="1:4" x14ac:dyDescent="0.35">
      <c r="A9" t="e">
        <f>1/0</f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92"/>
  <sheetViews>
    <sheetView topLeftCell="A181" workbookViewId="0"/>
  </sheetViews>
  <sheetFormatPr defaultRowHeight="14.5" x14ac:dyDescent="0.35"/>
  <sheetData>
    <row r="1" spans="1:1" x14ac:dyDescent="0.35">
      <c r="A1">
        <f>LEN(data!A1)</f>
        <v>11</v>
      </c>
    </row>
    <row r="2" spans="1:1" x14ac:dyDescent="0.35">
      <c r="A2">
        <f>LEN(data!A5)</f>
        <v>3</v>
      </c>
    </row>
    <row r="3" spans="1:1" x14ac:dyDescent="0.35">
      <c r="A3">
        <f>LEN(data!A7)</f>
        <v>5</v>
      </c>
    </row>
    <row r="4" spans="1:1" x14ac:dyDescent="0.35">
      <c r="A4">
        <f>LEN(data!A8)</f>
        <v>4</v>
      </c>
    </row>
    <row r="5" spans="1:1" x14ac:dyDescent="0.35">
      <c r="A5">
        <f>LEN("")</f>
        <v>0</v>
      </c>
    </row>
    <row r="6" spans="1:1" x14ac:dyDescent="0.35">
      <c r="A6" t="e">
        <f>LEN(data!A9)</f>
        <v>#DIV/0!</v>
      </c>
    </row>
    <row r="7" spans="1:1" x14ac:dyDescent="0.35">
      <c r="A7" t="str">
        <f>LEFT(data!A1)</f>
        <v>H</v>
      </c>
    </row>
    <row r="8" spans="1:1" x14ac:dyDescent="0.35">
      <c r="A8" t="str">
        <f>LEFT(data!A1,5)</f>
        <v>Hello</v>
      </c>
    </row>
    <row r="9" spans="1:1" x14ac:dyDescent="0.35">
      <c r="A9" t="str">
        <f>LEFT(data!A1,99)</f>
        <v>Hello World</v>
      </c>
    </row>
    <row r="10" spans="1:1" x14ac:dyDescent="0.35">
      <c r="A10" t="str">
        <f>LEFT(data!A1,0)</f>
        <v/>
      </c>
    </row>
    <row r="11" spans="1:1" x14ac:dyDescent="0.35">
      <c r="A11" t="str">
        <f>LEFT(data!A1,2.9)</f>
        <v>He</v>
      </c>
    </row>
    <row r="12" spans="1:1" x14ac:dyDescent="0.35">
      <c r="A12" t="e">
        <f>LEFT(data!A1,-1)</f>
        <v>#VALUE!</v>
      </c>
    </row>
    <row r="13" spans="1:1" x14ac:dyDescent="0.35">
      <c r="A13" t="e">
        <f>LEFT(data!A1,-0.5)</f>
        <v>#VALUE!</v>
      </c>
    </row>
    <row r="14" spans="1:1" x14ac:dyDescent="0.35">
      <c r="A14" t="str">
        <f>LEFT(1234,2)</f>
        <v>12</v>
      </c>
    </row>
    <row r="15" spans="1:1" x14ac:dyDescent="0.35">
      <c r="A15" t="str">
        <f>LEFT(data!A5,2)</f>
        <v>😀a</v>
      </c>
    </row>
    <row r="16" spans="1:1" x14ac:dyDescent="0.35">
      <c r="A16" t="str">
        <f>LEFT(data!A5,1)</f>
        <v>😀</v>
      </c>
    </row>
    <row r="17" spans="1:1" x14ac:dyDescent="0.35">
      <c r="A17" t="str">
        <f>RIGHT(data!A1,5)</f>
        <v>World</v>
      </c>
    </row>
    <row r="18" spans="1:1" x14ac:dyDescent="0.35">
      <c r="A18" t="str">
        <f>RIGHT(data!A6,3)</f>
        <v>a😀b</v>
      </c>
    </row>
    <row r="19" spans="1:1" x14ac:dyDescent="0.35">
      <c r="A19" t="str">
        <f>RIGHT(data!A6,2)</f>
        <v>😀b</v>
      </c>
    </row>
    <row r="20" spans="1:1" x14ac:dyDescent="0.35">
      <c r="A20" t="str">
        <f>MID(data!A1,7,5)</f>
        <v>World</v>
      </c>
    </row>
    <row r="21" spans="1:1" x14ac:dyDescent="0.35">
      <c r="A21" t="str">
        <f>MID(data!A1,7,99)</f>
        <v>World</v>
      </c>
    </row>
    <row r="22" spans="1:1" x14ac:dyDescent="0.35">
      <c r="A22" t="str">
        <f>MID(data!A1,20,5)</f>
        <v/>
      </c>
    </row>
    <row r="23" spans="1:1" x14ac:dyDescent="0.35">
      <c r="A23" t="e">
        <f>MID(data!A1,0,5)</f>
        <v>#VALUE!</v>
      </c>
    </row>
    <row r="24" spans="1:1" x14ac:dyDescent="0.35">
      <c r="A24" t="e">
        <f>MID(data!A1,1,-1)</f>
        <v>#VALUE!</v>
      </c>
    </row>
    <row r="25" spans="1:1" x14ac:dyDescent="0.35">
      <c r="A25" t="str">
        <f>MID(data!A6,2,2)</f>
        <v>😀b</v>
      </c>
    </row>
    <row r="26" spans="1:1" x14ac:dyDescent="0.35">
      <c r="A26" t="str">
        <f>MID(data!A6,3,1)</f>
        <v>b</v>
      </c>
    </row>
    <row r="27" spans="1:1" x14ac:dyDescent="0.35">
      <c r="A27" t="str">
        <f>MID(data!A1,1.9,2)</f>
        <v>He</v>
      </c>
    </row>
    <row r="28" spans="1:1" x14ac:dyDescent="0.35">
      <c r="A28">
        <f>FIND("o",data!A1)</f>
        <v>5</v>
      </c>
    </row>
    <row r="29" spans="1:1" x14ac:dyDescent="0.35">
      <c r="A29">
        <f>FIND("o",data!A1,6)</f>
        <v>8</v>
      </c>
    </row>
    <row r="30" spans="1:1" x14ac:dyDescent="0.35">
      <c r="A30" t="e">
        <f>FIND("O",data!A1)</f>
        <v>#VALUE!</v>
      </c>
    </row>
    <row r="31" spans="1:1" x14ac:dyDescent="0.35">
      <c r="A31" t="e">
        <f>FIND("x",data!A1)</f>
        <v>#VALUE!</v>
      </c>
    </row>
    <row r="32" spans="1:1" x14ac:dyDescent="0.35">
      <c r="A32" t="e">
        <f>FIND("o",data!A1,0)</f>
        <v>#VALUE!</v>
      </c>
    </row>
    <row r="33" spans="1:1" x14ac:dyDescent="0.35">
      <c r="A33" t="e">
        <f>FIND("o",data!A1,12)</f>
        <v>#VALUE!</v>
      </c>
    </row>
    <row r="34" spans="1:1" x14ac:dyDescent="0.35">
      <c r="A34">
        <f>FIND("",data!A1)</f>
        <v>1</v>
      </c>
    </row>
    <row r="35" spans="1:1" x14ac:dyDescent="0.35">
      <c r="A35">
        <f>FIND("",data!A1,3)</f>
        <v>3</v>
      </c>
    </row>
    <row r="36" spans="1:1" x14ac:dyDescent="0.35">
      <c r="A36">
        <f>FIND("",data!A1,12)</f>
        <v>12</v>
      </c>
    </row>
    <row r="37" spans="1:1" x14ac:dyDescent="0.35">
      <c r="A37">
        <f>FIND("","")</f>
        <v>1</v>
      </c>
    </row>
    <row r="38" spans="1:1" x14ac:dyDescent="0.35">
      <c r="A38">
        <f>FIND("b",data!A6)</f>
        <v>3</v>
      </c>
    </row>
    <row r="39" spans="1:1" x14ac:dyDescent="0.35">
      <c r="A39">
        <f>SEARCH("O",data!A1)</f>
        <v>5</v>
      </c>
    </row>
    <row r="40" spans="1:1" x14ac:dyDescent="0.35">
      <c r="A40">
        <f>SEARCH("w?r",data!A1)</f>
        <v>7</v>
      </c>
    </row>
    <row r="41" spans="1:1" x14ac:dyDescent="0.35">
      <c r="A41">
        <f>SEARCH("l*d",data!A1)</f>
        <v>3</v>
      </c>
    </row>
    <row r="42" spans="1:1" x14ac:dyDescent="0.35">
      <c r="A42">
        <f>SEARCH("~*","a*b")</f>
        <v>2</v>
      </c>
    </row>
    <row r="43" spans="1:1" x14ac:dyDescent="0.35">
      <c r="A43">
        <f>SEARCH("é",data!A4)</f>
        <v>1</v>
      </c>
    </row>
    <row r="44" spans="1:1" x14ac:dyDescent="0.35">
      <c r="A44">
        <f>SEARCH("É",data!A4)</f>
        <v>1</v>
      </c>
    </row>
    <row r="45" spans="1:1" x14ac:dyDescent="0.35">
      <c r="A45">
        <f>SEARCH("?",data!A6)</f>
        <v>1</v>
      </c>
    </row>
    <row r="46" spans="1:1" x14ac:dyDescent="0.35">
      <c r="A46">
        <f>SEARCH("b",data!A6)</f>
        <v>3</v>
      </c>
    </row>
    <row r="47" spans="1:1" x14ac:dyDescent="0.35">
      <c r="A47">
        <f>SEARCH("*",data!A1)</f>
        <v>1</v>
      </c>
    </row>
    <row r="48" spans="1:1" x14ac:dyDescent="0.35">
      <c r="A48">
        <f>SEARCH("d*",data!A1)</f>
        <v>11</v>
      </c>
    </row>
    <row r="49" spans="1:1" x14ac:dyDescent="0.35">
      <c r="A49" t="str">
        <f>SUBSTITUTE("aaa","aa","b")</f>
        <v>ba</v>
      </c>
    </row>
    <row r="50" spans="1:1" x14ac:dyDescent="0.35">
      <c r="A50" t="str">
        <f>SUBSTITUTE("a-b-c","-","+")</f>
        <v>a+b+c</v>
      </c>
    </row>
    <row r="51" spans="1:1" x14ac:dyDescent="0.35">
      <c r="A51" t="str">
        <f>SUBSTITUTE("a-b-c","-","+",2)</f>
        <v>a-b+c</v>
      </c>
    </row>
    <row r="52" spans="1:1" x14ac:dyDescent="0.35">
      <c r="A52" t="str">
        <f>SUBSTITUTE("a-b-c","-","+",3)</f>
        <v>a-b-c</v>
      </c>
    </row>
    <row r="53" spans="1:1" x14ac:dyDescent="0.35">
      <c r="A53" t="str">
        <f>SUBSTITUTE("abc","","x")</f>
        <v>abc</v>
      </c>
    </row>
    <row r="54" spans="1:1" x14ac:dyDescent="0.35">
      <c r="A54" t="str">
        <f>SUBSTITUTE("abc","B","x")</f>
        <v>abc</v>
      </c>
    </row>
    <row r="55" spans="1:1" x14ac:dyDescent="0.35">
      <c r="A55" t="e">
        <f>SUBSTITUTE("abc","b","x",0)</f>
        <v>#VALUE!</v>
      </c>
    </row>
    <row r="56" spans="1:1" x14ac:dyDescent="0.35">
      <c r="A56" t="str">
        <f>SUBSTITUTE("abc","b","x",1.9)</f>
        <v>axc</v>
      </c>
    </row>
    <row r="57" spans="1:1" x14ac:dyDescent="0.35">
      <c r="A57" t="str">
        <f>REPLACE("abcdef",2,3,"X")</f>
        <v>aXef</v>
      </c>
    </row>
    <row r="58" spans="1:1" x14ac:dyDescent="0.35">
      <c r="A58" t="str">
        <f>REPLACE("abc",10,1,"X")</f>
        <v>abcX</v>
      </c>
    </row>
    <row r="59" spans="1:1" x14ac:dyDescent="0.35">
      <c r="A59" t="e">
        <f>REPLACE("abc",0,1,"X")</f>
        <v>#VALUE!</v>
      </c>
    </row>
    <row r="60" spans="1:1" x14ac:dyDescent="0.35">
      <c r="A60" t="e">
        <f>REPLACE("abc",1,-1,"X")</f>
        <v>#VALUE!</v>
      </c>
    </row>
    <row r="61" spans="1:1" x14ac:dyDescent="0.35">
      <c r="A61" t="str">
        <f>REPLACE(data!A5,2,1,"X")</f>
        <v>😀Xb</v>
      </c>
    </row>
    <row r="62" spans="1:1" x14ac:dyDescent="0.35">
      <c r="A62" t="str">
        <f>REPLACE(data!A5,3,1,"X")</f>
        <v>😀aX</v>
      </c>
    </row>
    <row r="63" spans="1:1" x14ac:dyDescent="0.35">
      <c r="A63" t="str">
        <f>UPPER(data!A4)</f>
        <v>ÉCLAIR ß</v>
      </c>
    </row>
    <row r="64" spans="1:1" x14ac:dyDescent="0.35">
      <c r="A64" t="str">
        <f>LOWER("ÉCLAIR")</f>
        <v>éclair</v>
      </c>
    </row>
    <row r="65" spans="1:1" x14ac:dyDescent="0.35">
      <c r="A65" t="str">
        <f>PROPER(data!A3)</f>
        <v>O'Neil 2Nd-Place</v>
      </c>
    </row>
    <row r="66" spans="1:1" x14ac:dyDescent="0.35">
      <c r="A66" t="str">
        <f>PROPER("hELLO wORLD")</f>
        <v>Hello World</v>
      </c>
    </row>
    <row r="67" spans="1:1" x14ac:dyDescent="0.35">
      <c r="A67" t="str">
        <f>UPPER("ﬁ")</f>
        <v>ﬁ</v>
      </c>
    </row>
    <row r="68" spans="1:1" x14ac:dyDescent="0.35">
      <c r="A68" t="str">
        <f>LOWER("İ")</f>
        <v>i</v>
      </c>
    </row>
    <row r="69" spans="1:1" x14ac:dyDescent="0.35">
      <c r="A69" t="str">
        <f>PROPER("élan vital")</f>
        <v>Élan Vital</v>
      </c>
    </row>
    <row r="70" spans="1:1" x14ac:dyDescent="0.35">
      <c r="A70" t="str">
        <f>TRIM(data!A2)</f>
        <v>lots of space</v>
      </c>
    </row>
    <row r="71" spans="1:1" x14ac:dyDescent="0.35">
      <c r="A71" t="str">
        <f>TRIM(" a" &amp; CHAR(9) &amp; "b ")</f>
        <v>a	b</v>
      </c>
    </row>
    <row r="72" spans="1:1" x14ac:dyDescent="0.35">
      <c r="A72" t="b">
        <f>EXACT("a","A")</f>
        <v>0</v>
      </c>
    </row>
    <row r="73" spans="1:1" x14ac:dyDescent="0.35">
      <c r="A73" t="b">
        <f>EXACT("a","a")</f>
        <v>1</v>
      </c>
    </row>
    <row r="74" spans="1:1" x14ac:dyDescent="0.35">
      <c r="A74" t="b">
        <f>EXACT(1,"1")</f>
        <v>1</v>
      </c>
    </row>
    <row r="75" spans="1:1" x14ac:dyDescent="0.35">
      <c r="A75" t="b">
        <f>EXACT(TRUE,"TRUE")</f>
        <v>1</v>
      </c>
    </row>
    <row r="76" spans="1:1" x14ac:dyDescent="0.35">
      <c r="A76" t="str">
        <f>REPT("ab",3)</f>
        <v>ababab</v>
      </c>
    </row>
    <row r="77" spans="1:1" x14ac:dyDescent="0.35">
      <c r="A77" t="str">
        <f>REPT("ab",0)</f>
        <v/>
      </c>
    </row>
    <row r="78" spans="1:1" x14ac:dyDescent="0.35">
      <c r="A78" t="e">
        <f>REPT("ab",-1)</f>
        <v>#VALUE!</v>
      </c>
    </row>
    <row r="79" spans="1:1" x14ac:dyDescent="0.35">
      <c r="A79" t="str">
        <f>REPT("ab",2.9)</f>
        <v>abab</v>
      </c>
    </row>
    <row r="80" spans="1:1" x14ac:dyDescent="0.35">
      <c r="A80" t="e">
        <f>REPT("ab",20000)</f>
        <v>#VALUE!</v>
      </c>
    </row>
    <row r="81" spans="1:1" x14ac:dyDescent="0.35">
      <c r="A81">
        <f>LEN(REPT("x",32767))</f>
        <v>32767</v>
      </c>
    </row>
    <row r="82" spans="1:1" x14ac:dyDescent="0.35">
      <c r="A82">
        <f>LEN(REPT("x",32767)&amp;"x")</f>
        <v>32767</v>
      </c>
    </row>
    <row r="83" spans="1:1" x14ac:dyDescent="0.35">
      <c r="A83">
        <f>LEN(REPT("😀",16383)&amp;"x")</f>
        <v>16384</v>
      </c>
    </row>
    <row r="84" spans="1:1" x14ac:dyDescent="0.35">
      <c r="A84" t="e">
        <f>LEN(REPT("😀",16384))</f>
        <v>#VALUE!</v>
      </c>
    </row>
    <row r="85" spans="1:1" x14ac:dyDescent="0.35">
      <c r="A85">
        <f>LEN(CONCATENATE(REPT("x",32767),"x"))</f>
        <v>32767</v>
      </c>
    </row>
    <row r="86" spans="1:1" x14ac:dyDescent="0.35">
      <c r="A86" t="e">
        <f>LEN(SUBSTITUTE(REPT("x",20000),"x","yy"))</f>
        <v>#VALUE!</v>
      </c>
    </row>
    <row r="87" spans="1:1" x14ac:dyDescent="0.35">
      <c r="A87">
        <f>VALUE(data!C3)</f>
        <v>0.5</v>
      </c>
    </row>
    <row r="88" spans="1:1" x14ac:dyDescent="0.35">
      <c r="A88">
        <f>VALUE(data!C4)</f>
        <v>7</v>
      </c>
    </row>
    <row r="89" spans="1:1" x14ac:dyDescent="0.35">
      <c r="A89">
        <f>VALUE(5)</f>
        <v>5</v>
      </c>
    </row>
    <row r="90" spans="1:1" x14ac:dyDescent="0.35">
      <c r="A90" t="e">
        <f>VALUE(data!C5)</f>
        <v>#VALUE!</v>
      </c>
    </row>
    <row r="91" spans="1:1" x14ac:dyDescent="0.35">
      <c r="A91" t="e">
        <f>VALUE(data!A8)</f>
        <v>#VALUE!</v>
      </c>
    </row>
    <row r="92" spans="1:1" x14ac:dyDescent="0.35">
      <c r="A92">
        <f>VALUE(data!C1)</f>
        <v>1000</v>
      </c>
    </row>
    <row r="93" spans="1:1" x14ac:dyDescent="0.35">
      <c r="A93" t="e">
        <f>VALUE(data!C2)</f>
        <v>#VALUE!</v>
      </c>
    </row>
    <row r="94" spans="1:1" x14ac:dyDescent="0.35">
      <c r="A94">
        <f>VALUE("1e3")</f>
        <v>1000</v>
      </c>
    </row>
    <row r="95" spans="1:1" x14ac:dyDescent="0.35">
      <c r="A95">
        <f>VALUE("-.5")</f>
        <v>-0.5</v>
      </c>
    </row>
    <row r="96" spans="1:1" x14ac:dyDescent="0.35">
      <c r="A96" t="e">
        <f>VALUE("")</f>
        <v>#VALUE!</v>
      </c>
    </row>
    <row r="97" spans="1:1" x14ac:dyDescent="0.35">
      <c r="A97" t="str">
        <f>T(data!A1)</f>
        <v>Hello World</v>
      </c>
    </row>
    <row r="98" spans="1:1" x14ac:dyDescent="0.35">
      <c r="A98" t="str">
        <f>T(5)</f>
        <v/>
      </c>
    </row>
    <row r="99" spans="1:1" x14ac:dyDescent="0.35">
      <c r="A99" t="e">
        <f>T(data!A9)</f>
        <v>#DIV/0!</v>
      </c>
    </row>
    <row r="100" spans="1:1" x14ac:dyDescent="0.35">
      <c r="A100" t="str">
        <f>T(data!A8)</f>
        <v/>
      </c>
    </row>
    <row r="101" spans="1:1" x14ac:dyDescent="0.35">
      <c r="A101">
        <f>N(5)</f>
        <v>5</v>
      </c>
    </row>
    <row r="102" spans="1:1" x14ac:dyDescent="0.35">
      <c r="A102">
        <f>N(data!A8)</f>
        <v>1</v>
      </c>
    </row>
    <row r="103" spans="1:1" x14ac:dyDescent="0.35">
      <c r="A103">
        <f>N("x")</f>
        <v>0</v>
      </c>
    </row>
    <row r="104" spans="1:1" x14ac:dyDescent="0.35">
      <c r="A104" t="e">
        <f>N(data!A9)</f>
        <v>#DIV/0!</v>
      </c>
    </row>
    <row r="105" spans="1:1" x14ac:dyDescent="0.35">
      <c r="A105">
        <f>N(data!A1)</f>
        <v>0</v>
      </c>
    </row>
    <row r="106" spans="1:1" x14ac:dyDescent="0.35">
      <c r="A106">
        <f>_xlfn.UNICODE("A")</f>
        <v>65</v>
      </c>
    </row>
    <row r="107" spans="1:1" x14ac:dyDescent="0.35">
      <c r="A107">
        <f>_xlfn.UNICODE(data!A5)</f>
        <v>128512</v>
      </c>
    </row>
    <row r="108" spans="1:1" x14ac:dyDescent="0.35">
      <c r="A108" t="e">
        <f>_xlfn.UNICODE("")</f>
        <v>#VALUE!</v>
      </c>
    </row>
    <row r="109" spans="1:1" x14ac:dyDescent="0.35">
      <c r="A109">
        <f>_xlfn.UNICODE("é")</f>
        <v>233</v>
      </c>
    </row>
    <row r="110" spans="1:1" x14ac:dyDescent="0.35">
      <c r="A110" t="str">
        <f>_xlfn.UNICHAR(65)</f>
        <v>A</v>
      </c>
    </row>
    <row r="111" spans="1:1" x14ac:dyDescent="0.35">
      <c r="A111" t="str">
        <f>_xlfn.UNICHAR(233)</f>
        <v>é</v>
      </c>
    </row>
    <row r="112" spans="1:1" x14ac:dyDescent="0.35">
      <c r="A112" t="str">
        <f>_xlfn.UNICHAR(128512)</f>
        <v>😀</v>
      </c>
    </row>
    <row r="113" spans="1:1" x14ac:dyDescent="0.35">
      <c r="A113" t="e">
        <f>_xlfn.UNICHAR(55296)</f>
        <v>#N/A</v>
      </c>
    </row>
    <row r="114" spans="1:1" x14ac:dyDescent="0.35">
      <c r="A114" t="e">
        <f>_xlfn.UNICHAR(0)</f>
        <v>#VALUE!</v>
      </c>
    </row>
    <row r="115" spans="1:1" x14ac:dyDescent="0.35">
      <c r="A115" t="e">
        <f>_xlfn.UNICHAR(1114112)</f>
        <v>#VALUE!</v>
      </c>
    </row>
    <row r="116" spans="1:1" x14ac:dyDescent="0.35">
      <c r="A116" t="str">
        <f>_xlfn.UNICHAR(65.9)</f>
        <v>A</v>
      </c>
    </row>
    <row r="117" spans="1:1" x14ac:dyDescent="0.35">
      <c r="A117" t="str">
        <f>CHAR(65)</f>
        <v>A</v>
      </c>
    </row>
    <row r="118" spans="1:1" x14ac:dyDescent="0.35">
      <c r="A118" t="str">
        <f>CHAR(32)</f>
        <v xml:space="preserve"> </v>
      </c>
    </row>
    <row r="119" spans="1:1" x14ac:dyDescent="0.35">
      <c r="A119" t="str">
        <f>CHAR(126)</f>
        <v>~</v>
      </c>
    </row>
    <row r="120" spans="1:1" x14ac:dyDescent="0.35">
      <c r="A120" t="str">
        <f>CHAR(200)</f>
        <v>È</v>
      </c>
    </row>
    <row r="121" spans="1:1" x14ac:dyDescent="0.35">
      <c r="A121" t="e">
        <f>CHAR(0)</f>
        <v>#VALUE!</v>
      </c>
    </row>
    <row r="122" spans="1:1" x14ac:dyDescent="0.35">
      <c r="A122" t="e">
        <f>CHAR(256)</f>
        <v>#VALUE!</v>
      </c>
    </row>
    <row r="123" spans="1:1" x14ac:dyDescent="0.35">
      <c r="A123">
        <f>CODE("A")</f>
        <v>65</v>
      </c>
    </row>
    <row r="124" spans="1:1" x14ac:dyDescent="0.35">
      <c r="A124">
        <f>CODE("abc")</f>
        <v>97</v>
      </c>
    </row>
    <row r="125" spans="1:1" x14ac:dyDescent="0.35">
      <c r="A125">
        <f>CODE("é")</f>
        <v>233</v>
      </c>
    </row>
    <row r="126" spans="1:1" x14ac:dyDescent="0.35">
      <c r="A126" t="e">
        <f>CODE("")</f>
        <v>#VALUE!</v>
      </c>
    </row>
    <row r="127" spans="1:1" x14ac:dyDescent="0.35">
      <c r="A127" t="str">
        <f>CONCATENATE("a",1,TRUE)</f>
        <v>a1TRUE</v>
      </c>
    </row>
    <row r="128" spans="1:1" x14ac:dyDescent="0.35">
      <c r="A128" t="e">
        <f>CONCATENATE(data!A9,"x")</f>
        <v>#DIV/0!</v>
      </c>
    </row>
    <row r="129" spans="1:1" x14ac:dyDescent="0.35">
      <c r="A129" t="str">
        <f>CONCATENATE("a",data!B2,"b")</f>
        <v>ab</v>
      </c>
    </row>
    <row r="130" spans="1:1" x14ac:dyDescent="0.35">
      <c r="A130" t="str">
        <f>_xlfn.CONCAT(data!B1:B3)</f>
        <v>xz</v>
      </c>
    </row>
    <row r="131" spans="1:1" x14ac:dyDescent="0.35">
      <c r="A131" t="str">
        <f>_xlfn.CONCAT("a",data!B1:B3,"b")</f>
        <v>axzb</v>
      </c>
    </row>
    <row r="132" spans="1:1" x14ac:dyDescent="0.35">
      <c r="A132" t="e">
        <f>_xlfn.CONCAT(data!A8:A9)</f>
        <v>#DIV/0!</v>
      </c>
    </row>
    <row r="133" spans="1:1" x14ac:dyDescent="0.35">
      <c r="A133" t="str">
        <f>_xlfn.CONCAT(data!C1:D2)</f>
        <v>1,000-12abc+</v>
      </c>
    </row>
    <row r="134" spans="1:1" x14ac:dyDescent="0.35">
      <c r="A134" t="str">
        <f>_xlfn.TEXTJOIN(",",TRUE,data!B1:B3)</f>
        <v>x,z</v>
      </c>
    </row>
    <row r="135" spans="1:1" x14ac:dyDescent="0.35">
      <c r="A135" t="str">
        <f>_xlfn.TEXTJOIN(",",FALSE,data!B1:B3)</f>
        <v>x,,z</v>
      </c>
    </row>
    <row r="136" spans="1:1" x14ac:dyDescent="0.35">
      <c r="A136" t="str">
        <f>_xlfn.TEXTJOIN(",",TRUE,"a","","b")</f>
        <v>a,b</v>
      </c>
    </row>
    <row r="137" spans="1:1" x14ac:dyDescent="0.35">
      <c r="A137" t="str">
        <f>_xlfn.TEXTJOIN(",",FALSE,"a","","b")</f>
        <v>a,,b</v>
      </c>
    </row>
    <row r="138" spans="1:1" x14ac:dyDescent="0.35">
      <c r="A138" t="str">
        <f>_xlfn.TEXTJOIN("",FALSE,data!B1:B3)</f>
        <v>xz</v>
      </c>
    </row>
    <row r="139" spans="1:1" x14ac:dyDescent="0.35">
      <c r="A139" t="str">
        <f>_xlfn.TEXTJOIN(data!D1:D2,TRUE,"a","b","c")</f>
        <v>a-b+c</v>
      </c>
    </row>
    <row r="140" spans="1:1" x14ac:dyDescent="0.35">
      <c r="A140" t="e">
        <f>_xlfn.TEXTJOIN(",",TRUE,data!A9)</f>
        <v>#DIV/0!</v>
      </c>
    </row>
    <row r="141" spans="1:1" x14ac:dyDescent="0.35">
      <c r="A141" t="str">
        <f>_xlfn.TEXTJOIN(", ",TRUE,data!C1:D2)</f>
        <v>1,000, -, 12abc, +</v>
      </c>
    </row>
    <row r="142" spans="1:1" x14ac:dyDescent="0.35">
      <c r="A142" t="e" vm="1">
        <f>LEN(_xlfn.TEXTJOIN(",",FALSE,data!B:B))</f>
        <v>#VALUE!</v>
      </c>
    </row>
    <row r="143" spans="1:1" x14ac:dyDescent="0.35">
      <c r="A143" t="str">
        <f>TEXT(1234.5,"#,##0.00")</f>
        <v>1,234.50</v>
      </c>
    </row>
    <row r="144" spans="1:1" x14ac:dyDescent="0.35">
      <c r="A144" t="str">
        <f>TEXT(0.256,"0.0%")</f>
        <v>25.6%</v>
      </c>
    </row>
    <row r="145" spans="1:1" x14ac:dyDescent="0.35">
      <c r="A145" t="str">
        <f>TEXT(45292,"yyyy-mm-dd")</f>
        <v>2024-01-01</v>
      </c>
    </row>
    <row r="146" spans="1:1" x14ac:dyDescent="0.35">
      <c r="A146" t="str">
        <f>TEXT(45292,"dddd, mmmm d")</f>
        <v>Monday, January 1</v>
      </c>
    </row>
    <row r="147" spans="1:1" x14ac:dyDescent="0.35">
      <c r="A147" t="str">
        <f>TEXT(45292,"ddd d mmm yy")</f>
        <v>Mon 1 Jan 24</v>
      </c>
    </row>
    <row r="148" spans="1:1" x14ac:dyDescent="0.35">
      <c r="A148" t="str">
        <f>TEXT(45292,"mmmmm")</f>
        <v>J</v>
      </c>
    </row>
    <row r="149" spans="1:1" x14ac:dyDescent="0.35">
      <c r="A149" t="str">
        <f>TEXT(45292,"d/m/yyyy")</f>
        <v>1/1/2024</v>
      </c>
    </row>
    <row r="150" spans="1:1" x14ac:dyDescent="0.35">
      <c r="A150" t="str">
        <f>TEXT(60,"yyyy-mm-dd")</f>
        <v>1900-02-29</v>
      </c>
    </row>
    <row r="151" spans="1:1" x14ac:dyDescent="0.35">
      <c r="A151" t="str">
        <f>TEXT(0,"yyyy-mm-dd ddd")</f>
        <v>1900-01-00 Sat</v>
      </c>
    </row>
    <row r="152" spans="1:1" x14ac:dyDescent="0.35">
      <c r="A152" t="str">
        <f>TEXT(1,"dddd")</f>
        <v>Sunday</v>
      </c>
    </row>
    <row r="153" spans="1:1" x14ac:dyDescent="0.35">
      <c r="A153" t="str">
        <f>TEXT(2958465,"yyyy-mm-dd")</f>
        <v>9999-12-31</v>
      </c>
    </row>
    <row r="154" spans="1:1" x14ac:dyDescent="0.35">
      <c r="A154" t="str">
        <f>TEXT(0.75,"h:mm AM/PM")</f>
        <v>6:00 PM</v>
      </c>
    </row>
    <row r="155" spans="1:1" x14ac:dyDescent="0.35">
      <c r="A155" t="str">
        <f>TEXT(0.75,"hh:mm:ss")</f>
        <v>18:00:00</v>
      </c>
    </row>
    <row r="156" spans="1:1" x14ac:dyDescent="0.35">
      <c r="A156" t="str">
        <f>TEXT(0.5,"h:mm a/p")</f>
        <v>12:00 p</v>
      </c>
    </row>
    <row r="157" spans="1:1" x14ac:dyDescent="0.35">
      <c r="A157" t="str">
        <f>TEXT(1.5,"[h]:mm")</f>
        <v>36:00</v>
      </c>
    </row>
    <row r="158" spans="1:1" x14ac:dyDescent="0.35">
      <c r="A158" t="str">
        <f>TEXT(1/24,"[mm]:ss")</f>
        <v>60:00</v>
      </c>
    </row>
    <row r="159" spans="1:1" x14ac:dyDescent="0.35">
      <c r="A159" t="str">
        <f>TEXT(1.5/86400,"mm:ss.00")</f>
        <v>00:01.50</v>
      </c>
    </row>
    <row r="160" spans="1:1" x14ac:dyDescent="0.35">
      <c r="A160" t="str">
        <f>TEXT(0.99999999,"h:mm:ss")</f>
        <v>0:00:00</v>
      </c>
    </row>
    <row r="161" spans="1:1" x14ac:dyDescent="0.35">
      <c r="A161" t="str">
        <f>TEXT(59.6/86400,"h:mm")</f>
        <v>0:01</v>
      </c>
    </row>
    <row r="162" spans="1:1" x14ac:dyDescent="0.35">
      <c r="A162" t="str">
        <f>TEXT(45292.75,"yyyy-mm-dd hh:mm")</f>
        <v>2024-01-01 18:00</v>
      </c>
    </row>
    <row r="163" spans="1:1" x14ac:dyDescent="0.35">
      <c r="A163" t="str">
        <f>TEXT("12","0.00")</f>
        <v>12.00</v>
      </c>
    </row>
    <row r="164" spans="1:1" x14ac:dyDescent="0.35">
      <c r="A164" t="str">
        <f>TEXT("abc","0.00")</f>
        <v>abc</v>
      </c>
    </row>
    <row r="165" spans="1:1" x14ac:dyDescent="0.35">
      <c r="A165" t="str">
        <f>TEXT("abc","0;0;0;""&lt;""@""&gt;""")</f>
        <v>&lt;abc&gt;</v>
      </c>
    </row>
    <row r="166" spans="1:1" x14ac:dyDescent="0.35">
      <c r="A166" t="str">
        <f>TEXT(data!A8,"0")</f>
        <v>TRUE</v>
      </c>
    </row>
    <row r="167" spans="1:1" x14ac:dyDescent="0.35">
      <c r="A167" t="e">
        <f>TEXT(-1,"yyyy")</f>
        <v>#VALUE!</v>
      </c>
    </row>
    <row r="168" spans="1:1" x14ac:dyDescent="0.35">
      <c r="A168" t="e">
        <f>TEXT(2958466,"yyyy")</f>
        <v>#VALUE!</v>
      </c>
    </row>
    <row r="169" spans="1:1" x14ac:dyDescent="0.35">
      <c r="A169" t="str">
        <f>TEXT(1.5,"General")</f>
        <v>1.5</v>
      </c>
    </row>
    <row r="170" spans="1:1" x14ac:dyDescent="0.35">
      <c r="A170" t="str">
        <f>TEXT(5,"@")</f>
        <v>5</v>
      </c>
    </row>
    <row r="171" spans="1:1" x14ac:dyDescent="0.35">
      <c r="A171" t="str">
        <f>TEXT(5,"")</f>
        <v/>
      </c>
    </row>
    <row r="172" spans="1:1" x14ac:dyDescent="0.35">
      <c r="A172" t="e">
        <f>TEXT(data!A9,"0")</f>
        <v>#DIV/0!</v>
      </c>
    </row>
    <row r="173" spans="1:1" x14ac:dyDescent="0.35">
      <c r="A173" t="b">
        <f>"a"="A"</f>
        <v>1</v>
      </c>
    </row>
    <row r="174" spans="1:1" x14ac:dyDescent="0.35">
      <c r="A174" t="b">
        <f>"é"="É"</f>
        <v>1</v>
      </c>
    </row>
    <row r="175" spans="1:1" x14ac:dyDescent="0.35">
      <c r="A175" t="b">
        <f>"é"="e"</f>
        <v>0</v>
      </c>
    </row>
    <row r="176" spans="1:1" x14ac:dyDescent="0.35">
      <c r="A176" t="b">
        <f>"ß"="ss"</f>
        <v>1</v>
      </c>
    </row>
    <row r="177" spans="1:1" x14ac:dyDescent="0.35">
      <c r="A177" t="b">
        <f>"a"&lt;"B"</f>
        <v>1</v>
      </c>
    </row>
    <row r="178" spans="1:1" x14ac:dyDescent="0.35">
      <c r="A178" t="b">
        <f>"B"&lt;"a"</f>
        <v>0</v>
      </c>
    </row>
    <row r="179" spans="1:1" x14ac:dyDescent="0.35">
      <c r="A179" t="b">
        <f>"Z"&lt;"a"</f>
        <v>0</v>
      </c>
    </row>
    <row r="180" spans="1:1" x14ac:dyDescent="0.35">
      <c r="A180" t="b">
        <f>"-"&lt;"a"</f>
        <v>1</v>
      </c>
    </row>
    <row r="181" spans="1:1" x14ac:dyDescent="0.35">
      <c r="A181" t="b">
        <f>" "&lt;"0"</f>
        <v>1</v>
      </c>
    </row>
    <row r="182" spans="1:1" x14ac:dyDescent="0.35">
      <c r="A182" t="b">
        <f>"0"&lt;"a"</f>
        <v>1</v>
      </c>
    </row>
    <row r="183" spans="1:1" x14ac:dyDescent="0.35">
      <c r="A183" t="b">
        <f>"_"&lt;"a"</f>
        <v>1</v>
      </c>
    </row>
    <row r="184" spans="1:1" x14ac:dyDescent="0.35">
      <c r="A184" t="b">
        <f>"["&lt;"a"</f>
        <v>1</v>
      </c>
    </row>
    <row r="185" spans="1:1" x14ac:dyDescent="0.35">
      <c r="A185" t="b">
        <f>"~"&lt;"a"</f>
        <v>1</v>
      </c>
    </row>
    <row r="186" spans="1:1" x14ac:dyDescent="0.35">
      <c r="A186" t="b">
        <f>"é"&lt;"f"</f>
        <v>1</v>
      </c>
    </row>
    <row r="187" spans="1:1" x14ac:dyDescent="0.35">
      <c r="A187" t="b">
        <f>"e"&lt;"é"</f>
        <v>1</v>
      </c>
    </row>
    <row r="188" spans="1:1" x14ac:dyDescent="0.35">
      <c r="A188" t="b">
        <f>"co-op"&lt;"coop"</f>
        <v>0</v>
      </c>
    </row>
    <row r="189" spans="1:1" x14ac:dyDescent="0.35">
      <c r="A189" t="b">
        <f>"coop"&lt;"co-op"</f>
        <v>1</v>
      </c>
    </row>
    <row r="190" spans="1:1" x14ac:dyDescent="0.35">
      <c r="A190" t="b">
        <f>"a b"&lt;"ab"</f>
        <v>1</v>
      </c>
    </row>
    <row r="191" spans="1:1" x14ac:dyDescent="0.35">
      <c r="A191" t="b">
        <f>"a"&lt;"a "</f>
        <v>1</v>
      </c>
    </row>
    <row r="192" spans="1:1" x14ac:dyDescent="0.35">
      <c r="A192" t="b">
        <f>"10"&lt;"9"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63"/>
  <sheetViews>
    <sheetView workbookViewId="0"/>
  </sheetViews>
  <sheetFormatPr defaultRowHeight="14.5" x14ac:dyDescent="0.35"/>
  <sheetData>
    <row r="1" spans="1:2" x14ac:dyDescent="0.35">
      <c r="A1" t="s">
        <v>563</v>
      </c>
      <c r="B1">
        <f t="shared" ref="B1:B32" si="0">SUMPRODUCT(--($A$1:$A$163&lt;A1))</f>
        <v>3</v>
      </c>
    </row>
    <row r="2" spans="1:2" x14ac:dyDescent="0.35">
      <c r="A2" t="s">
        <v>564</v>
      </c>
      <c r="B2">
        <f t="shared" si="0"/>
        <v>6</v>
      </c>
    </row>
    <row r="3" spans="1:2" x14ac:dyDescent="0.35">
      <c r="A3" t="s">
        <v>565</v>
      </c>
      <c r="B3">
        <f t="shared" si="0"/>
        <v>7</v>
      </c>
    </row>
    <row r="4" spans="1:2" x14ac:dyDescent="0.35">
      <c r="A4" t="s">
        <v>566</v>
      </c>
      <c r="B4">
        <f t="shared" si="0"/>
        <v>8</v>
      </c>
    </row>
    <row r="5" spans="1:2" x14ac:dyDescent="0.35">
      <c r="A5" t="s">
        <v>567</v>
      </c>
      <c r="B5">
        <f t="shared" si="0"/>
        <v>9</v>
      </c>
    </row>
    <row r="6" spans="1:2" x14ac:dyDescent="0.35">
      <c r="A6" t="s">
        <v>568</v>
      </c>
      <c r="B6">
        <f t="shared" si="0"/>
        <v>10</v>
      </c>
    </row>
    <row r="7" spans="1:2" x14ac:dyDescent="0.35">
      <c r="A7" t="s">
        <v>569</v>
      </c>
      <c r="B7">
        <f t="shared" si="0"/>
        <v>11</v>
      </c>
    </row>
    <row r="8" spans="1:2" x14ac:dyDescent="0.35">
      <c r="A8" t="s">
        <v>570</v>
      </c>
      <c r="B8">
        <f t="shared" si="0"/>
        <v>0</v>
      </c>
    </row>
    <row r="9" spans="1:2" x14ac:dyDescent="0.35">
      <c r="A9" t="s">
        <v>571</v>
      </c>
      <c r="B9">
        <f t="shared" si="0"/>
        <v>12</v>
      </c>
    </row>
    <row r="10" spans="1:2" x14ac:dyDescent="0.35">
      <c r="A10" t="s">
        <v>572</v>
      </c>
      <c r="B10">
        <f t="shared" si="0"/>
        <v>13</v>
      </c>
    </row>
    <row r="11" spans="1:2" x14ac:dyDescent="0.35">
      <c r="A11" t="s">
        <v>573</v>
      </c>
      <c r="B11">
        <f t="shared" si="0"/>
        <v>14</v>
      </c>
    </row>
    <row r="12" spans="1:2" x14ac:dyDescent="0.35">
      <c r="A12" t="s">
        <v>554</v>
      </c>
      <c r="B12">
        <f t="shared" si="0"/>
        <v>36</v>
      </c>
    </row>
    <row r="13" spans="1:2" x14ac:dyDescent="0.35">
      <c r="A13" t="s">
        <v>574</v>
      </c>
      <c r="B13">
        <f t="shared" si="0"/>
        <v>15</v>
      </c>
    </row>
    <row r="14" spans="1:2" x14ac:dyDescent="0.35">
      <c r="A14" t="s">
        <v>551</v>
      </c>
      <c r="B14">
        <f t="shared" si="0"/>
        <v>1</v>
      </c>
    </row>
    <row r="15" spans="1:2" x14ac:dyDescent="0.35">
      <c r="A15" t="s">
        <v>575</v>
      </c>
      <c r="B15">
        <f t="shared" si="0"/>
        <v>16</v>
      </c>
    </row>
    <row r="16" spans="1:2" x14ac:dyDescent="0.35">
      <c r="A16" t="s">
        <v>576</v>
      </c>
      <c r="B16">
        <f t="shared" si="0"/>
        <v>17</v>
      </c>
    </row>
    <row r="17" spans="1:2" x14ac:dyDescent="0.35">
      <c r="A17" t="s">
        <v>577</v>
      </c>
      <c r="B17">
        <f t="shared" si="0"/>
        <v>44</v>
      </c>
    </row>
    <row r="18" spans="1:2" x14ac:dyDescent="0.35">
      <c r="A18" t="s">
        <v>578</v>
      </c>
      <c r="B18">
        <f t="shared" si="0"/>
        <v>45</v>
      </c>
    </row>
    <row r="19" spans="1:2" x14ac:dyDescent="0.35">
      <c r="A19" t="s">
        <v>579</v>
      </c>
      <c r="B19">
        <f t="shared" si="0"/>
        <v>47</v>
      </c>
    </row>
    <row r="20" spans="1:2" x14ac:dyDescent="0.35">
      <c r="A20" t="s">
        <v>580</v>
      </c>
      <c r="B20">
        <f t="shared" si="0"/>
        <v>49</v>
      </c>
    </row>
    <row r="21" spans="1:2" x14ac:dyDescent="0.35">
      <c r="A21" t="s">
        <v>581</v>
      </c>
      <c r="B21">
        <f t="shared" si="0"/>
        <v>50</v>
      </c>
    </row>
    <row r="22" spans="1:2" x14ac:dyDescent="0.35">
      <c r="A22" t="s">
        <v>582</v>
      </c>
      <c r="B22">
        <f t="shared" si="0"/>
        <v>51</v>
      </c>
    </row>
    <row r="23" spans="1:2" x14ac:dyDescent="0.35">
      <c r="A23" t="s">
        <v>583</v>
      </c>
      <c r="B23">
        <f t="shared" si="0"/>
        <v>52</v>
      </c>
    </row>
    <row r="24" spans="1:2" x14ac:dyDescent="0.35">
      <c r="A24" t="s">
        <v>584</v>
      </c>
      <c r="B24">
        <f t="shared" si="0"/>
        <v>53</v>
      </c>
    </row>
    <row r="25" spans="1:2" x14ac:dyDescent="0.35">
      <c r="A25" t="s">
        <v>585</v>
      </c>
      <c r="B25">
        <f t="shared" si="0"/>
        <v>54</v>
      </c>
    </row>
    <row r="26" spans="1:2" x14ac:dyDescent="0.35">
      <c r="A26" t="s">
        <v>586</v>
      </c>
      <c r="B26">
        <f t="shared" si="0"/>
        <v>55</v>
      </c>
    </row>
    <row r="27" spans="1:2" x14ac:dyDescent="0.35">
      <c r="A27" t="s">
        <v>587</v>
      </c>
      <c r="B27">
        <f t="shared" si="0"/>
        <v>18</v>
      </c>
    </row>
    <row r="28" spans="1:2" x14ac:dyDescent="0.35">
      <c r="A28" t="s">
        <v>588</v>
      </c>
      <c r="B28">
        <f t="shared" si="0"/>
        <v>19</v>
      </c>
    </row>
    <row r="29" spans="1:2" x14ac:dyDescent="0.35">
      <c r="A29" t="s">
        <v>589</v>
      </c>
      <c r="B29">
        <f t="shared" si="0"/>
        <v>37</v>
      </c>
    </row>
    <row r="30" spans="1:2" x14ac:dyDescent="0.35">
      <c r="A30" t="s">
        <v>590</v>
      </c>
      <c r="B30">
        <f t="shared" si="0"/>
        <v>38</v>
      </c>
    </row>
    <row r="31" spans="1:2" x14ac:dyDescent="0.35">
      <c r="A31" t="s">
        <v>591</v>
      </c>
      <c r="B31">
        <f t="shared" si="0"/>
        <v>39</v>
      </c>
    </row>
    <row r="32" spans="1:2" x14ac:dyDescent="0.35">
      <c r="A32" t="s">
        <v>592</v>
      </c>
      <c r="B32">
        <f t="shared" si="0"/>
        <v>20</v>
      </c>
    </row>
    <row r="33" spans="1:2" x14ac:dyDescent="0.35">
      <c r="A33" t="s">
        <v>593</v>
      </c>
      <c r="B33">
        <f t="shared" ref="B33:B64" si="1">SUMPRODUCT(--($A$1:$A$163&lt;A33))</f>
        <v>21</v>
      </c>
    </row>
    <row r="34" spans="1:2" x14ac:dyDescent="0.35">
      <c r="A34" t="s">
        <v>594</v>
      </c>
      <c r="B34">
        <f t="shared" si="1"/>
        <v>56</v>
      </c>
    </row>
    <row r="35" spans="1:2" x14ac:dyDescent="0.35">
      <c r="A35" t="s">
        <v>595</v>
      </c>
      <c r="B35">
        <f t="shared" si="1"/>
        <v>79</v>
      </c>
    </row>
    <row r="36" spans="1:2" x14ac:dyDescent="0.35">
      <c r="A36" t="s">
        <v>596</v>
      </c>
      <c r="B36">
        <f t="shared" si="1"/>
        <v>81</v>
      </c>
    </row>
    <row r="37" spans="1:2" x14ac:dyDescent="0.35">
      <c r="A37" t="s">
        <v>597</v>
      </c>
      <c r="B37">
        <f t="shared" si="1"/>
        <v>89</v>
      </c>
    </row>
    <row r="38" spans="1:2" x14ac:dyDescent="0.35">
      <c r="A38" t="s">
        <v>598</v>
      </c>
      <c r="B38">
        <f t="shared" si="1"/>
        <v>91</v>
      </c>
    </row>
    <row r="39" spans="1:2" x14ac:dyDescent="0.35">
      <c r="A39" t="s">
        <v>599</v>
      </c>
      <c r="B39">
        <f t="shared" si="1"/>
        <v>97</v>
      </c>
    </row>
    <row r="40" spans="1:2" x14ac:dyDescent="0.35">
      <c r="A40" t="s">
        <v>600</v>
      </c>
      <c r="B40">
        <f t="shared" si="1"/>
        <v>99</v>
      </c>
    </row>
    <row r="41" spans="1:2" x14ac:dyDescent="0.35">
      <c r="A41" t="s">
        <v>601</v>
      </c>
      <c r="B41">
        <f t="shared" si="1"/>
        <v>101</v>
      </c>
    </row>
    <row r="42" spans="1:2" x14ac:dyDescent="0.35">
      <c r="A42" t="s">
        <v>602</v>
      </c>
      <c r="B42">
        <f t="shared" si="1"/>
        <v>103</v>
      </c>
    </row>
    <row r="43" spans="1:2" x14ac:dyDescent="0.35">
      <c r="A43" t="s">
        <v>603</v>
      </c>
      <c r="B43">
        <f t="shared" si="1"/>
        <v>107</v>
      </c>
    </row>
    <row r="44" spans="1:2" x14ac:dyDescent="0.35">
      <c r="A44" t="s">
        <v>604</v>
      </c>
      <c r="B44">
        <f t="shared" si="1"/>
        <v>109</v>
      </c>
    </row>
    <row r="45" spans="1:2" x14ac:dyDescent="0.35">
      <c r="A45" t="s">
        <v>605</v>
      </c>
      <c r="B45">
        <f t="shared" si="1"/>
        <v>111</v>
      </c>
    </row>
    <row r="46" spans="1:2" x14ac:dyDescent="0.35">
      <c r="A46" t="s">
        <v>606</v>
      </c>
      <c r="B46">
        <f t="shared" si="1"/>
        <v>113</v>
      </c>
    </row>
    <row r="47" spans="1:2" x14ac:dyDescent="0.35">
      <c r="A47" t="s">
        <v>607</v>
      </c>
      <c r="B47">
        <f t="shared" si="1"/>
        <v>115</v>
      </c>
    </row>
    <row r="48" spans="1:2" x14ac:dyDescent="0.35">
      <c r="A48" t="s">
        <v>608</v>
      </c>
      <c r="B48">
        <f t="shared" si="1"/>
        <v>118</v>
      </c>
    </row>
    <row r="49" spans="1:2" x14ac:dyDescent="0.35">
      <c r="A49" t="s">
        <v>609</v>
      </c>
      <c r="B49">
        <f t="shared" si="1"/>
        <v>125</v>
      </c>
    </row>
    <row r="50" spans="1:2" x14ac:dyDescent="0.35">
      <c r="A50" t="s">
        <v>610</v>
      </c>
      <c r="B50">
        <f t="shared" si="1"/>
        <v>127</v>
      </c>
    </row>
    <row r="51" spans="1:2" x14ac:dyDescent="0.35">
      <c r="A51" t="s">
        <v>611</v>
      </c>
      <c r="B51">
        <f t="shared" si="1"/>
        <v>129</v>
      </c>
    </row>
    <row r="52" spans="1:2" x14ac:dyDescent="0.35">
      <c r="A52" t="s">
        <v>612</v>
      </c>
      <c r="B52">
        <f t="shared" si="1"/>
        <v>134</v>
      </c>
    </row>
    <row r="53" spans="1:2" x14ac:dyDescent="0.35">
      <c r="A53" t="s">
        <v>613</v>
      </c>
      <c r="B53">
        <f t="shared" si="1"/>
        <v>139</v>
      </c>
    </row>
    <row r="54" spans="1:2" x14ac:dyDescent="0.35">
      <c r="A54" t="s">
        <v>614</v>
      </c>
      <c r="B54">
        <f t="shared" si="1"/>
        <v>141</v>
      </c>
    </row>
    <row r="55" spans="1:2" x14ac:dyDescent="0.35">
      <c r="A55" t="s">
        <v>615</v>
      </c>
      <c r="B55">
        <f t="shared" si="1"/>
        <v>147</v>
      </c>
    </row>
    <row r="56" spans="1:2" x14ac:dyDescent="0.35">
      <c r="A56" t="s">
        <v>616</v>
      </c>
      <c r="B56">
        <f t="shared" si="1"/>
        <v>149</v>
      </c>
    </row>
    <row r="57" spans="1:2" x14ac:dyDescent="0.35">
      <c r="A57" t="s">
        <v>617</v>
      </c>
      <c r="B57">
        <f t="shared" si="1"/>
        <v>151</v>
      </c>
    </row>
    <row r="58" spans="1:2" x14ac:dyDescent="0.35">
      <c r="A58" t="s">
        <v>618</v>
      </c>
      <c r="B58">
        <f t="shared" si="1"/>
        <v>153</v>
      </c>
    </row>
    <row r="59" spans="1:2" x14ac:dyDescent="0.35">
      <c r="A59" t="s">
        <v>619</v>
      </c>
      <c r="B59">
        <f t="shared" si="1"/>
        <v>156</v>
      </c>
    </row>
    <row r="60" spans="1:2" x14ac:dyDescent="0.35">
      <c r="A60" t="s">
        <v>620</v>
      </c>
      <c r="B60">
        <f t="shared" si="1"/>
        <v>22</v>
      </c>
    </row>
    <row r="61" spans="1:2" x14ac:dyDescent="0.35">
      <c r="A61" t="s">
        <v>621</v>
      </c>
      <c r="B61">
        <f t="shared" si="1"/>
        <v>23</v>
      </c>
    </row>
    <row r="62" spans="1:2" x14ac:dyDescent="0.35">
      <c r="A62" t="s">
        <v>622</v>
      </c>
      <c r="B62">
        <f t="shared" si="1"/>
        <v>24</v>
      </c>
    </row>
    <row r="63" spans="1:2" x14ac:dyDescent="0.35">
      <c r="A63" t="s">
        <v>623</v>
      </c>
      <c r="B63">
        <f t="shared" si="1"/>
        <v>25</v>
      </c>
    </row>
    <row r="64" spans="1:2" x14ac:dyDescent="0.35">
      <c r="A64" t="s">
        <v>624</v>
      </c>
      <c r="B64">
        <f t="shared" si="1"/>
        <v>26</v>
      </c>
    </row>
    <row r="65" spans="1:2" x14ac:dyDescent="0.35">
      <c r="A65" t="s">
        <v>625</v>
      </c>
      <c r="B65">
        <f t="shared" ref="B65:B96" si="2">SUMPRODUCT(--($A$1:$A$163&lt;A65))</f>
        <v>27</v>
      </c>
    </row>
    <row r="66" spans="1:2" x14ac:dyDescent="0.35">
      <c r="A66" t="s">
        <v>626</v>
      </c>
      <c r="B66">
        <f t="shared" si="2"/>
        <v>56</v>
      </c>
    </row>
    <row r="67" spans="1:2" x14ac:dyDescent="0.35">
      <c r="A67" t="s">
        <v>627</v>
      </c>
      <c r="B67">
        <f t="shared" si="2"/>
        <v>79</v>
      </c>
    </row>
    <row r="68" spans="1:2" x14ac:dyDescent="0.35">
      <c r="A68" t="s">
        <v>628</v>
      </c>
      <c r="B68">
        <f t="shared" si="2"/>
        <v>81</v>
      </c>
    </row>
    <row r="69" spans="1:2" x14ac:dyDescent="0.35">
      <c r="A69" t="s">
        <v>629</v>
      </c>
      <c r="B69">
        <f t="shared" si="2"/>
        <v>89</v>
      </c>
    </row>
    <row r="70" spans="1:2" x14ac:dyDescent="0.35">
      <c r="A70" t="s">
        <v>630</v>
      </c>
      <c r="B70">
        <f t="shared" si="2"/>
        <v>91</v>
      </c>
    </row>
    <row r="71" spans="1:2" x14ac:dyDescent="0.35">
      <c r="A71" t="s">
        <v>631</v>
      </c>
      <c r="B71">
        <f t="shared" si="2"/>
        <v>97</v>
      </c>
    </row>
    <row r="72" spans="1:2" x14ac:dyDescent="0.35">
      <c r="A72" t="s">
        <v>632</v>
      </c>
      <c r="B72">
        <f t="shared" si="2"/>
        <v>99</v>
      </c>
    </row>
    <row r="73" spans="1:2" x14ac:dyDescent="0.35">
      <c r="A73" t="s">
        <v>633</v>
      </c>
      <c r="B73">
        <f t="shared" si="2"/>
        <v>101</v>
      </c>
    </row>
    <row r="74" spans="1:2" x14ac:dyDescent="0.35">
      <c r="A74" t="s">
        <v>634</v>
      </c>
      <c r="B74">
        <f t="shared" si="2"/>
        <v>103</v>
      </c>
    </row>
    <row r="75" spans="1:2" x14ac:dyDescent="0.35">
      <c r="A75" t="s">
        <v>635</v>
      </c>
      <c r="B75">
        <f t="shared" si="2"/>
        <v>107</v>
      </c>
    </row>
    <row r="76" spans="1:2" x14ac:dyDescent="0.35">
      <c r="A76" t="s">
        <v>636</v>
      </c>
      <c r="B76">
        <f t="shared" si="2"/>
        <v>109</v>
      </c>
    </row>
    <row r="77" spans="1:2" x14ac:dyDescent="0.35">
      <c r="A77" t="s">
        <v>637</v>
      </c>
      <c r="B77">
        <f t="shared" si="2"/>
        <v>111</v>
      </c>
    </row>
    <row r="78" spans="1:2" x14ac:dyDescent="0.35">
      <c r="A78" t="s">
        <v>638</v>
      </c>
      <c r="B78">
        <f t="shared" si="2"/>
        <v>113</v>
      </c>
    </row>
    <row r="79" spans="1:2" x14ac:dyDescent="0.35">
      <c r="A79" t="s">
        <v>639</v>
      </c>
      <c r="B79">
        <f t="shared" si="2"/>
        <v>115</v>
      </c>
    </row>
    <row r="80" spans="1:2" x14ac:dyDescent="0.35">
      <c r="A80" t="s">
        <v>640</v>
      </c>
      <c r="B80">
        <f t="shared" si="2"/>
        <v>118</v>
      </c>
    </row>
    <row r="81" spans="1:2" x14ac:dyDescent="0.35">
      <c r="A81" t="s">
        <v>641</v>
      </c>
      <c r="B81">
        <f t="shared" si="2"/>
        <v>125</v>
      </c>
    </row>
    <row r="82" spans="1:2" x14ac:dyDescent="0.35">
      <c r="A82" t="s">
        <v>642</v>
      </c>
      <c r="B82">
        <f t="shared" si="2"/>
        <v>127</v>
      </c>
    </row>
    <row r="83" spans="1:2" x14ac:dyDescent="0.35">
      <c r="A83" t="s">
        <v>643</v>
      </c>
      <c r="B83">
        <f t="shared" si="2"/>
        <v>129</v>
      </c>
    </row>
    <row r="84" spans="1:2" x14ac:dyDescent="0.35">
      <c r="A84" t="s">
        <v>644</v>
      </c>
      <c r="B84">
        <f t="shared" si="2"/>
        <v>134</v>
      </c>
    </row>
    <row r="85" spans="1:2" x14ac:dyDescent="0.35">
      <c r="A85" t="s">
        <v>645</v>
      </c>
      <c r="B85">
        <f t="shared" si="2"/>
        <v>139</v>
      </c>
    </row>
    <row r="86" spans="1:2" x14ac:dyDescent="0.35">
      <c r="A86" t="s">
        <v>646</v>
      </c>
      <c r="B86">
        <f t="shared" si="2"/>
        <v>141</v>
      </c>
    </row>
    <row r="87" spans="1:2" x14ac:dyDescent="0.35">
      <c r="A87" t="s">
        <v>647</v>
      </c>
      <c r="B87">
        <f t="shared" si="2"/>
        <v>147</v>
      </c>
    </row>
    <row r="88" spans="1:2" x14ac:dyDescent="0.35">
      <c r="A88" t="s">
        <v>648</v>
      </c>
      <c r="B88">
        <f t="shared" si="2"/>
        <v>149</v>
      </c>
    </row>
    <row r="89" spans="1:2" x14ac:dyDescent="0.35">
      <c r="A89" t="s">
        <v>549</v>
      </c>
      <c r="B89">
        <f t="shared" si="2"/>
        <v>151</v>
      </c>
    </row>
    <row r="90" spans="1:2" x14ac:dyDescent="0.35">
      <c r="A90" t="s">
        <v>649</v>
      </c>
      <c r="B90">
        <f t="shared" si="2"/>
        <v>153</v>
      </c>
    </row>
    <row r="91" spans="1:2" x14ac:dyDescent="0.35">
      <c r="A91" t="s">
        <v>556</v>
      </c>
      <c r="B91">
        <f t="shared" si="2"/>
        <v>156</v>
      </c>
    </row>
    <row r="92" spans="1:2" x14ac:dyDescent="0.35">
      <c r="A92" t="s">
        <v>650</v>
      </c>
      <c r="B92">
        <f t="shared" si="2"/>
        <v>28</v>
      </c>
    </row>
    <row r="93" spans="1:2" x14ac:dyDescent="0.35">
      <c r="A93" t="s">
        <v>651</v>
      </c>
      <c r="B93">
        <f t="shared" si="2"/>
        <v>29</v>
      </c>
    </row>
    <row r="94" spans="1:2" x14ac:dyDescent="0.35">
      <c r="A94" t="s">
        <v>652</v>
      </c>
      <c r="B94">
        <f t="shared" si="2"/>
        <v>30</v>
      </c>
    </row>
    <row r="95" spans="1:2" x14ac:dyDescent="0.35">
      <c r="A95" t="s">
        <v>653</v>
      </c>
      <c r="B95">
        <f t="shared" si="2"/>
        <v>31</v>
      </c>
    </row>
    <row r="96" spans="1:2" x14ac:dyDescent="0.35">
      <c r="A96" t="s">
        <v>654</v>
      </c>
      <c r="B96">
        <f t="shared" si="2"/>
        <v>93</v>
      </c>
    </row>
    <row r="97" spans="1:2" x14ac:dyDescent="0.35">
      <c r="A97" t="s">
        <v>655</v>
      </c>
      <c r="B97">
        <f t="shared" ref="B97:B128" si="3">SUMPRODUCT(--($A$1:$A$163&lt;A97))</f>
        <v>94</v>
      </c>
    </row>
    <row r="98" spans="1:2" x14ac:dyDescent="0.35">
      <c r="A98" t="s">
        <v>656</v>
      </c>
      <c r="B98">
        <f t="shared" si="3"/>
        <v>95</v>
      </c>
    </row>
    <row r="99" spans="1:2" x14ac:dyDescent="0.35">
      <c r="A99" t="s">
        <v>657</v>
      </c>
      <c r="B99">
        <f t="shared" si="3"/>
        <v>96</v>
      </c>
    </row>
    <row r="100" spans="1:2" x14ac:dyDescent="0.35">
      <c r="A100" t="s">
        <v>658</v>
      </c>
      <c r="B100">
        <f t="shared" si="3"/>
        <v>61</v>
      </c>
    </row>
    <row r="101" spans="1:2" x14ac:dyDescent="0.35">
      <c r="A101" t="s">
        <v>659</v>
      </c>
      <c r="B101">
        <f t="shared" si="3"/>
        <v>62</v>
      </c>
    </row>
    <row r="102" spans="1:2" x14ac:dyDescent="0.35">
      <c r="A102" t="s">
        <v>660</v>
      </c>
      <c r="B102">
        <f t="shared" si="3"/>
        <v>63</v>
      </c>
    </row>
    <row r="103" spans="1:2" x14ac:dyDescent="0.35">
      <c r="A103" t="s">
        <v>661</v>
      </c>
      <c r="B103">
        <f t="shared" si="3"/>
        <v>64</v>
      </c>
    </row>
    <row r="104" spans="1:2" x14ac:dyDescent="0.35">
      <c r="A104" t="s">
        <v>662</v>
      </c>
      <c r="B104">
        <f t="shared" si="3"/>
        <v>60</v>
      </c>
    </row>
    <row r="105" spans="1:2" x14ac:dyDescent="0.35">
      <c r="A105" t="s">
        <v>663</v>
      </c>
      <c r="B105">
        <f t="shared" si="3"/>
        <v>117</v>
      </c>
    </row>
    <row r="106" spans="1:2" x14ac:dyDescent="0.35">
      <c r="A106" t="s">
        <v>664</v>
      </c>
      <c r="B106">
        <f t="shared" si="3"/>
        <v>83</v>
      </c>
    </row>
    <row r="107" spans="1:2" x14ac:dyDescent="0.35">
      <c r="A107" t="s">
        <v>665</v>
      </c>
      <c r="B107">
        <f t="shared" si="3"/>
        <v>122</v>
      </c>
    </row>
    <row r="108" spans="1:2" x14ac:dyDescent="0.35">
      <c r="A108" t="s">
        <v>666</v>
      </c>
      <c r="B108">
        <f t="shared" si="3"/>
        <v>121</v>
      </c>
    </row>
    <row r="109" spans="1:2" x14ac:dyDescent="0.35">
      <c r="A109" t="s">
        <v>667</v>
      </c>
      <c r="B109">
        <f t="shared" si="3"/>
        <v>120</v>
      </c>
    </row>
    <row r="110" spans="1:2" x14ac:dyDescent="0.35">
      <c r="A110" t="s">
        <v>668</v>
      </c>
      <c r="B110">
        <f t="shared" si="3"/>
        <v>123</v>
      </c>
    </row>
    <row r="111" spans="1:2" x14ac:dyDescent="0.35">
      <c r="A111" t="s">
        <v>669</v>
      </c>
      <c r="B111">
        <f t="shared" si="3"/>
        <v>146</v>
      </c>
    </row>
    <row r="112" spans="1:2" x14ac:dyDescent="0.35">
      <c r="A112" t="s">
        <v>670</v>
      </c>
      <c r="B112">
        <f t="shared" si="3"/>
        <v>145</v>
      </c>
    </row>
    <row r="113" spans="1:2" x14ac:dyDescent="0.35">
      <c r="A113" t="s">
        <v>671</v>
      </c>
      <c r="B113">
        <f t="shared" si="3"/>
        <v>144</v>
      </c>
    </row>
    <row r="114" spans="1:2" x14ac:dyDescent="0.35">
      <c r="A114" t="s">
        <v>672</v>
      </c>
      <c r="B114">
        <f t="shared" si="3"/>
        <v>143</v>
      </c>
    </row>
    <row r="115" spans="1:2" x14ac:dyDescent="0.35">
      <c r="A115" t="s">
        <v>673</v>
      </c>
      <c r="B115">
        <f t="shared" si="3"/>
        <v>76</v>
      </c>
    </row>
    <row r="116" spans="1:2" x14ac:dyDescent="0.35">
      <c r="A116" t="s">
        <v>674</v>
      </c>
      <c r="B116">
        <f t="shared" si="3"/>
        <v>124</v>
      </c>
    </row>
    <row r="117" spans="1:2" x14ac:dyDescent="0.35">
      <c r="A117" t="s">
        <v>675</v>
      </c>
      <c r="B117">
        <f t="shared" si="3"/>
        <v>136</v>
      </c>
    </row>
    <row r="118" spans="1:2" x14ac:dyDescent="0.35">
      <c r="A118" t="s">
        <v>676</v>
      </c>
      <c r="B118">
        <f t="shared" si="3"/>
        <v>155</v>
      </c>
    </row>
    <row r="119" spans="1:2" x14ac:dyDescent="0.35">
      <c r="A119" t="s">
        <v>677</v>
      </c>
      <c r="B119">
        <f t="shared" si="3"/>
        <v>105</v>
      </c>
    </row>
    <row r="120" spans="1:2" x14ac:dyDescent="0.35">
      <c r="A120" t="s">
        <v>678</v>
      </c>
      <c r="B120">
        <f t="shared" si="3"/>
        <v>106</v>
      </c>
    </row>
    <row r="121" spans="1:2" x14ac:dyDescent="0.35">
      <c r="A121" t="s">
        <v>679</v>
      </c>
      <c r="B121">
        <f t="shared" si="3"/>
        <v>40</v>
      </c>
    </row>
    <row r="122" spans="1:2" x14ac:dyDescent="0.35">
      <c r="A122" t="s">
        <v>680</v>
      </c>
      <c r="B122">
        <f t="shared" si="3"/>
        <v>41</v>
      </c>
    </row>
    <row r="123" spans="1:2" x14ac:dyDescent="0.35">
      <c r="A123" t="s">
        <v>681</v>
      </c>
      <c r="B123">
        <f t="shared" si="3"/>
        <v>33</v>
      </c>
    </row>
    <row r="124" spans="1:2" x14ac:dyDescent="0.35">
      <c r="A124" t="s">
        <v>682</v>
      </c>
      <c r="B124">
        <f t="shared" si="3"/>
        <v>32</v>
      </c>
    </row>
    <row r="125" spans="1:2" x14ac:dyDescent="0.35">
      <c r="A125" t="s">
        <v>683</v>
      </c>
      <c r="B125">
        <f t="shared" si="3"/>
        <v>43</v>
      </c>
    </row>
    <row r="126" spans="1:2" x14ac:dyDescent="0.35">
      <c r="A126" t="s">
        <v>684</v>
      </c>
      <c r="B126">
        <f t="shared" si="3"/>
        <v>42</v>
      </c>
    </row>
    <row r="127" spans="1:2" x14ac:dyDescent="0.35">
      <c r="A127" t="s">
        <v>685</v>
      </c>
      <c r="B127">
        <f t="shared" si="3"/>
        <v>35</v>
      </c>
    </row>
    <row r="128" spans="1:2" x14ac:dyDescent="0.35">
      <c r="A128" t="s">
        <v>686</v>
      </c>
      <c r="B128">
        <f t="shared" si="3"/>
        <v>2</v>
      </c>
    </row>
    <row r="129" spans="1:2" x14ac:dyDescent="0.35">
      <c r="A129" t="s">
        <v>687</v>
      </c>
      <c r="B129">
        <f t="shared" ref="B129:B160" si="4">SUMPRODUCT(--($A$1:$A$163&lt;A129))</f>
        <v>34</v>
      </c>
    </row>
    <row r="130" spans="1:2" x14ac:dyDescent="0.35">
      <c r="A130" t="s">
        <v>688</v>
      </c>
      <c r="B130">
        <f t="shared" si="4"/>
        <v>5</v>
      </c>
    </row>
    <row r="131" spans="1:2" x14ac:dyDescent="0.35">
      <c r="A131" t="s">
        <v>689</v>
      </c>
      <c r="B131">
        <f t="shared" si="4"/>
        <v>159</v>
      </c>
    </row>
    <row r="132" spans="1:2" x14ac:dyDescent="0.35">
      <c r="A132" t="s">
        <v>690</v>
      </c>
      <c r="B132">
        <f t="shared" si="4"/>
        <v>158</v>
      </c>
    </row>
    <row r="133" spans="1:2" x14ac:dyDescent="0.35">
      <c r="A133" t="s">
        <v>691</v>
      </c>
      <c r="B133">
        <f t="shared" si="4"/>
        <v>160</v>
      </c>
    </row>
    <row r="134" spans="1:2" x14ac:dyDescent="0.35">
      <c r="A134" t="s">
        <v>692</v>
      </c>
      <c r="B134">
        <f t="shared" si="4"/>
        <v>162</v>
      </c>
    </row>
    <row r="135" spans="1:2" x14ac:dyDescent="0.35">
      <c r="A135" t="s">
        <v>693</v>
      </c>
      <c r="B135">
        <f t="shared" si="4"/>
        <v>161</v>
      </c>
    </row>
    <row r="136" spans="1:2" x14ac:dyDescent="0.35">
      <c r="A136" t="s">
        <v>694</v>
      </c>
      <c r="B136">
        <f t="shared" si="4"/>
        <v>87</v>
      </c>
    </row>
    <row r="137" spans="1:2" x14ac:dyDescent="0.35">
      <c r="A137" t="s">
        <v>695</v>
      </c>
      <c r="B137">
        <f t="shared" si="4"/>
        <v>86</v>
      </c>
    </row>
    <row r="138" spans="1:2" x14ac:dyDescent="0.35">
      <c r="A138" t="s">
        <v>696</v>
      </c>
      <c r="B138">
        <f t="shared" si="4"/>
        <v>84</v>
      </c>
    </row>
    <row r="139" spans="1:2" x14ac:dyDescent="0.35">
      <c r="A139" t="s">
        <v>697</v>
      </c>
      <c r="B139">
        <f t="shared" si="4"/>
        <v>85</v>
      </c>
    </row>
    <row r="140" spans="1:2" x14ac:dyDescent="0.35">
      <c r="A140" t="s">
        <v>698</v>
      </c>
      <c r="B140">
        <f t="shared" si="4"/>
        <v>88</v>
      </c>
    </row>
    <row r="141" spans="1:2" x14ac:dyDescent="0.35">
      <c r="A141" t="s">
        <v>699</v>
      </c>
      <c r="B141">
        <f t="shared" si="4"/>
        <v>58</v>
      </c>
    </row>
    <row r="142" spans="1:2" x14ac:dyDescent="0.35">
      <c r="A142" t="s">
        <v>700</v>
      </c>
      <c r="B142">
        <f t="shared" si="4"/>
        <v>59</v>
      </c>
    </row>
    <row r="143" spans="1:2" x14ac:dyDescent="0.35">
      <c r="A143" t="s">
        <v>701</v>
      </c>
      <c r="B143">
        <f t="shared" si="4"/>
        <v>73</v>
      </c>
    </row>
    <row r="144" spans="1:2" x14ac:dyDescent="0.35">
      <c r="A144" t="s">
        <v>702</v>
      </c>
      <c r="B144">
        <f t="shared" si="4"/>
        <v>65</v>
      </c>
    </row>
    <row r="145" spans="1:2" x14ac:dyDescent="0.35">
      <c r="A145" t="s">
        <v>703</v>
      </c>
      <c r="B145">
        <f t="shared" si="4"/>
        <v>75</v>
      </c>
    </row>
    <row r="146" spans="1:2" x14ac:dyDescent="0.35">
      <c r="A146" t="s">
        <v>704</v>
      </c>
      <c r="B146">
        <f t="shared" si="4"/>
        <v>74</v>
      </c>
    </row>
    <row r="147" spans="1:2" x14ac:dyDescent="0.35">
      <c r="A147" t="s">
        <v>705</v>
      </c>
      <c r="B147">
        <f t="shared" si="4"/>
        <v>132</v>
      </c>
    </row>
    <row r="148" spans="1:2" x14ac:dyDescent="0.35">
      <c r="A148" t="s">
        <v>706</v>
      </c>
      <c r="B148">
        <f t="shared" si="4"/>
        <v>131</v>
      </c>
    </row>
    <row r="149" spans="1:2" x14ac:dyDescent="0.35">
      <c r="A149" t="s">
        <v>707</v>
      </c>
      <c r="B149">
        <f t="shared" si="4"/>
        <v>132</v>
      </c>
    </row>
    <row r="150" spans="1:2" x14ac:dyDescent="0.35">
      <c r="A150" t="s">
        <v>708</v>
      </c>
      <c r="B150">
        <f t="shared" si="4"/>
        <v>136</v>
      </c>
    </row>
    <row r="151" spans="1:2" x14ac:dyDescent="0.35">
      <c r="A151" t="s">
        <v>709</v>
      </c>
      <c r="B151">
        <f t="shared" si="4"/>
        <v>138</v>
      </c>
    </row>
    <row r="152" spans="1:2" x14ac:dyDescent="0.35">
      <c r="A152" t="s">
        <v>710</v>
      </c>
      <c r="B152">
        <f t="shared" si="4"/>
        <v>76</v>
      </c>
    </row>
    <row r="153" spans="1:2" x14ac:dyDescent="0.35">
      <c r="A153" t="s">
        <v>711</v>
      </c>
      <c r="B153">
        <f t="shared" si="4"/>
        <v>78</v>
      </c>
    </row>
    <row r="154" spans="1:2" x14ac:dyDescent="0.35">
      <c r="A154" t="s">
        <v>712</v>
      </c>
      <c r="B154">
        <f t="shared" si="4"/>
        <v>46</v>
      </c>
    </row>
    <row r="155" spans="1:2" x14ac:dyDescent="0.35">
      <c r="A155" t="s">
        <v>579</v>
      </c>
      <c r="B155">
        <f t="shared" si="4"/>
        <v>47</v>
      </c>
    </row>
    <row r="156" spans="1:2" x14ac:dyDescent="0.35">
      <c r="A156" t="s">
        <v>713</v>
      </c>
      <c r="B156">
        <f t="shared" si="4"/>
        <v>66</v>
      </c>
    </row>
    <row r="157" spans="1:2" x14ac:dyDescent="0.35">
      <c r="A157" t="s">
        <v>714</v>
      </c>
      <c r="B157">
        <f t="shared" si="4"/>
        <v>68</v>
      </c>
    </row>
    <row r="158" spans="1:2" x14ac:dyDescent="0.35">
      <c r="A158" t="s">
        <v>715</v>
      </c>
      <c r="B158">
        <f t="shared" si="4"/>
        <v>69</v>
      </c>
    </row>
    <row r="159" spans="1:2" x14ac:dyDescent="0.35">
      <c r="A159" t="s">
        <v>716</v>
      </c>
      <c r="B159">
        <f t="shared" si="4"/>
        <v>66</v>
      </c>
    </row>
    <row r="160" spans="1:2" x14ac:dyDescent="0.35">
      <c r="A160" t="s">
        <v>717</v>
      </c>
      <c r="B160">
        <f t="shared" si="4"/>
        <v>4</v>
      </c>
    </row>
    <row r="161" spans="1:2" x14ac:dyDescent="0.35">
      <c r="A161" t="s">
        <v>718</v>
      </c>
      <c r="B161">
        <f t="shared" ref="B161:B192" si="5">SUMPRODUCT(--($A$1:$A$163&lt;A161))</f>
        <v>70</v>
      </c>
    </row>
    <row r="162" spans="1:2" x14ac:dyDescent="0.35">
      <c r="A162" t="s">
        <v>719</v>
      </c>
      <c r="B162">
        <f t="shared" si="5"/>
        <v>70</v>
      </c>
    </row>
    <row r="163" spans="1:2" x14ac:dyDescent="0.35">
      <c r="A163" t="s">
        <v>720</v>
      </c>
      <c r="B163">
        <f t="shared" si="5"/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Frazaro</vt:lpstr>
      <vt:lpstr>data</vt:lpstr>
      <vt:lpstr>functions</vt:lpstr>
      <vt:lpstr>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Preston Johnson</dc:creator>
  <cp:lastModifiedBy>Preston Johnson</cp:lastModifiedBy>
  <dcterms:created xsi:type="dcterms:W3CDTF">2026-10-20T07:53:16Z</dcterms:created>
  <dcterms:modified xsi:type="dcterms:W3CDTF">2026-10-20T07:53:16Z</dcterms:modified>
</cp:coreProperties>
</file>