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\Documents\Code\VLA\Delta\Frazaro\scripts\recalc\"/>
    </mc:Choice>
  </mc:AlternateContent>
  <xr:revisionPtr revIDLastSave="0" documentId="8_{21F9394A-42A5-4802-AA85-B6B4F897889B}" xr6:coauthVersionLast="47" xr6:coauthVersionMax="47" xr10:uidLastSave="{00000000-0000-0000-0000-000000000000}"/>
  <bookViews>
    <workbookView xWindow="840" yWindow="290" windowWidth="18020" windowHeight="21000" activeTab="2" xr2:uid="{00000000-000D-0000-FFFF-FFFF00000000}"/>
  </bookViews>
  <sheets>
    <sheet name="Frazaro" sheetId="1" r:id="rId1"/>
    <sheet name="data" sheetId="2" r:id="rId2"/>
    <sheet name="functions" sheetId="3" r:id="rId3"/>
    <sheet name="calendar" sheetId="4" r:id="rId4"/>
  </sheets>
  <definedNames>
    <definedName name="Frazaro.Build">_xlfn._LONGTEXT("Frazaro 0.10.1; sentences sha256:67110A4410082E96B4F769994A1C94EADD41C896A81E67BED9211C498A921699 over 19791 non-whitespace bytes; prelude sha256:887F55C46AA71563EE5DE0F74E3D4DB1C0022986248AD1FBF8A7A63711AC508C over 27033 non-whitespace bytes; phrasebook ","1 sha256:5E5FF4121AA83D783E926C1A78B8E8C7C45BFE1E1184340F8D93A0285DDCB949 over 167902 non-whitespace bytes")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2" i="4" l="1"/>
  <c r="A202" i="4"/>
  <c r="E201" i="4"/>
  <c r="A201" i="4"/>
  <c r="E200" i="4"/>
  <c r="A200" i="4"/>
  <c r="E199" i="4"/>
  <c r="A199" i="4"/>
  <c r="E198" i="4"/>
  <c r="A198" i="4"/>
  <c r="E197" i="4"/>
  <c r="A197" i="4"/>
  <c r="E196" i="4"/>
  <c r="A196" i="4"/>
  <c r="E195" i="4"/>
  <c r="A195" i="4"/>
  <c r="E194" i="4"/>
  <c r="A194" i="4"/>
  <c r="E193" i="4"/>
  <c r="A193" i="4"/>
  <c r="E192" i="4"/>
  <c r="A192" i="4"/>
  <c r="E191" i="4"/>
  <c r="A191" i="4"/>
  <c r="E190" i="4"/>
  <c r="A190" i="4"/>
  <c r="E189" i="4"/>
  <c r="A189" i="4"/>
  <c r="E188" i="4"/>
  <c r="A188" i="4"/>
  <c r="E187" i="4"/>
  <c r="A187" i="4"/>
  <c r="E186" i="4"/>
  <c r="A186" i="4"/>
  <c r="E185" i="4"/>
  <c r="A185" i="4"/>
  <c r="E184" i="4"/>
  <c r="A184" i="4"/>
  <c r="E183" i="4"/>
  <c r="A183" i="4"/>
  <c r="E182" i="4"/>
  <c r="A182" i="4"/>
  <c r="E181" i="4"/>
  <c r="A181" i="4"/>
  <c r="E180" i="4"/>
  <c r="A180" i="4"/>
  <c r="E179" i="4"/>
  <c r="A179" i="4"/>
  <c r="E178" i="4"/>
  <c r="A178" i="4"/>
  <c r="E177" i="4"/>
  <c r="A177" i="4"/>
  <c r="E176" i="4"/>
  <c r="A176" i="4"/>
  <c r="E175" i="4"/>
  <c r="A175" i="4"/>
  <c r="D175" i="4" s="1"/>
  <c r="E174" i="4"/>
  <c r="A174" i="4"/>
  <c r="E173" i="4"/>
  <c r="A173" i="4"/>
  <c r="E172" i="4"/>
  <c r="A172" i="4"/>
  <c r="E171" i="4"/>
  <c r="A171" i="4"/>
  <c r="E170" i="4"/>
  <c r="A170" i="4"/>
  <c r="E169" i="4"/>
  <c r="A169" i="4"/>
  <c r="E168" i="4"/>
  <c r="A168" i="4"/>
  <c r="E167" i="4"/>
  <c r="A167" i="4"/>
  <c r="E166" i="4"/>
  <c r="A166" i="4"/>
  <c r="E165" i="4"/>
  <c r="A165" i="4"/>
  <c r="E164" i="4"/>
  <c r="A164" i="4"/>
  <c r="E163" i="4"/>
  <c r="A163" i="4"/>
  <c r="E162" i="4"/>
  <c r="A162" i="4"/>
  <c r="E161" i="4"/>
  <c r="A161" i="4"/>
  <c r="E160" i="4"/>
  <c r="A160" i="4"/>
  <c r="E159" i="4"/>
  <c r="A159" i="4"/>
  <c r="B159" i="4" s="1"/>
  <c r="E158" i="4"/>
  <c r="A158" i="4"/>
  <c r="E157" i="4"/>
  <c r="A157" i="4"/>
  <c r="E156" i="4"/>
  <c r="A156" i="4"/>
  <c r="E155" i="4"/>
  <c r="A155" i="4"/>
  <c r="E154" i="4"/>
  <c r="A154" i="4"/>
  <c r="E153" i="4"/>
  <c r="A153" i="4"/>
  <c r="E152" i="4"/>
  <c r="A152" i="4"/>
  <c r="E151" i="4"/>
  <c r="A151" i="4"/>
  <c r="E150" i="4"/>
  <c r="A150" i="4"/>
  <c r="E149" i="4"/>
  <c r="A149" i="4"/>
  <c r="E148" i="4"/>
  <c r="A148" i="4"/>
  <c r="E147" i="4"/>
  <c r="A147" i="4"/>
  <c r="E146" i="4"/>
  <c r="A146" i="4"/>
  <c r="E145" i="4"/>
  <c r="A145" i="4"/>
  <c r="E144" i="4"/>
  <c r="A144" i="4"/>
  <c r="E143" i="4"/>
  <c r="A143" i="4"/>
  <c r="E142" i="4"/>
  <c r="A142" i="4"/>
  <c r="E141" i="4"/>
  <c r="A141" i="4"/>
  <c r="E140" i="4"/>
  <c r="A140" i="4"/>
  <c r="E139" i="4"/>
  <c r="A139" i="4"/>
  <c r="E138" i="4"/>
  <c r="A138" i="4"/>
  <c r="E137" i="4"/>
  <c r="A137" i="4"/>
  <c r="E136" i="4"/>
  <c r="A136" i="4"/>
  <c r="E135" i="4"/>
  <c r="A135" i="4"/>
  <c r="E134" i="4"/>
  <c r="A134" i="4"/>
  <c r="E133" i="4"/>
  <c r="A133" i="4"/>
  <c r="E132" i="4"/>
  <c r="A132" i="4"/>
  <c r="E131" i="4"/>
  <c r="A131" i="4"/>
  <c r="E130" i="4"/>
  <c r="A130" i="4"/>
  <c r="E129" i="4"/>
  <c r="A129" i="4"/>
  <c r="E128" i="4"/>
  <c r="A128" i="4"/>
  <c r="E127" i="4"/>
  <c r="A127" i="4"/>
  <c r="E126" i="4"/>
  <c r="A126" i="4"/>
  <c r="E125" i="4"/>
  <c r="A125" i="4"/>
  <c r="E124" i="4"/>
  <c r="A124" i="4"/>
  <c r="E123" i="4"/>
  <c r="A123" i="4"/>
  <c r="E122" i="4"/>
  <c r="A122" i="4"/>
  <c r="E121" i="4"/>
  <c r="A121" i="4"/>
  <c r="E120" i="4"/>
  <c r="A120" i="4"/>
  <c r="E119" i="4"/>
  <c r="A119" i="4"/>
  <c r="E118" i="4"/>
  <c r="A118" i="4"/>
  <c r="E117" i="4"/>
  <c r="A117" i="4"/>
  <c r="E116" i="4"/>
  <c r="A116" i="4"/>
  <c r="E115" i="4"/>
  <c r="A115" i="4"/>
  <c r="E114" i="4"/>
  <c r="A114" i="4"/>
  <c r="E113" i="4"/>
  <c r="A113" i="4"/>
  <c r="E112" i="4"/>
  <c r="A112" i="4"/>
  <c r="E111" i="4"/>
  <c r="A111" i="4"/>
  <c r="E110" i="4"/>
  <c r="A110" i="4"/>
  <c r="E109" i="4"/>
  <c r="A109" i="4"/>
  <c r="E108" i="4"/>
  <c r="A108" i="4"/>
  <c r="E107" i="4"/>
  <c r="A107" i="4"/>
  <c r="E106" i="4"/>
  <c r="A106" i="4"/>
  <c r="B106" i="4" s="1"/>
  <c r="E105" i="4"/>
  <c r="A105" i="4"/>
  <c r="E104" i="4"/>
  <c r="A104" i="4"/>
  <c r="E103" i="4"/>
  <c r="A103" i="4"/>
  <c r="E102" i="4"/>
  <c r="A102" i="4"/>
  <c r="E101" i="4"/>
  <c r="A101" i="4"/>
  <c r="E100" i="4"/>
  <c r="A100" i="4"/>
  <c r="E99" i="4"/>
  <c r="A99" i="4"/>
  <c r="E98" i="4"/>
  <c r="A98" i="4"/>
  <c r="E97" i="4"/>
  <c r="A97" i="4"/>
  <c r="E96" i="4"/>
  <c r="A96" i="4"/>
  <c r="E95" i="4"/>
  <c r="A95" i="4"/>
  <c r="E94" i="4"/>
  <c r="A94" i="4"/>
  <c r="E93" i="4"/>
  <c r="A93" i="4"/>
  <c r="E92" i="4"/>
  <c r="A92" i="4"/>
  <c r="E91" i="4"/>
  <c r="A91" i="4"/>
  <c r="E90" i="4"/>
  <c r="A90" i="4"/>
  <c r="E89" i="4"/>
  <c r="A89" i="4"/>
  <c r="E88" i="4"/>
  <c r="A88" i="4"/>
  <c r="E87" i="4"/>
  <c r="A87" i="4"/>
  <c r="E86" i="4"/>
  <c r="A86" i="4"/>
  <c r="E85" i="4"/>
  <c r="A85" i="4"/>
  <c r="E84" i="4"/>
  <c r="A84" i="4"/>
  <c r="E83" i="4"/>
  <c r="A83" i="4"/>
  <c r="E82" i="4"/>
  <c r="A82" i="4"/>
  <c r="E81" i="4"/>
  <c r="A81" i="4"/>
  <c r="E80" i="4"/>
  <c r="A80" i="4"/>
  <c r="E79" i="4"/>
  <c r="A79" i="4"/>
  <c r="E78" i="4"/>
  <c r="A78" i="4"/>
  <c r="E77" i="4"/>
  <c r="A77" i="4"/>
  <c r="E76" i="4"/>
  <c r="A76" i="4"/>
  <c r="E75" i="4"/>
  <c r="A75" i="4"/>
  <c r="E74" i="4"/>
  <c r="A74" i="4"/>
  <c r="E73" i="4"/>
  <c r="A73" i="4"/>
  <c r="E72" i="4"/>
  <c r="A72" i="4"/>
  <c r="E71" i="4"/>
  <c r="A71" i="4"/>
  <c r="E70" i="4"/>
  <c r="A70" i="4"/>
  <c r="E69" i="4"/>
  <c r="A69" i="4"/>
  <c r="E68" i="4"/>
  <c r="A68" i="4"/>
  <c r="E67" i="4"/>
  <c r="A67" i="4"/>
  <c r="E66" i="4"/>
  <c r="A66" i="4"/>
  <c r="E65" i="4"/>
  <c r="B65" i="4"/>
  <c r="A65" i="4"/>
  <c r="E64" i="4"/>
  <c r="A64" i="4"/>
  <c r="E63" i="4"/>
  <c r="A63" i="4"/>
  <c r="E62" i="4"/>
  <c r="A62" i="4"/>
  <c r="E61" i="4"/>
  <c r="A61" i="4"/>
  <c r="E60" i="4"/>
  <c r="A60" i="4"/>
  <c r="E59" i="4"/>
  <c r="A59" i="4"/>
  <c r="E58" i="4"/>
  <c r="A58" i="4"/>
  <c r="E57" i="4"/>
  <c r="A57" i="4"/>
  <c r="E56" i="4"/>
  <c r="A56" i="4"/>
  <c r="E55" i="4"/>
  <c r="A55" i="4"/>
  <c r="E54" i="4"/>
  <c r="A54" i="4"/>
  <c r="E53" i="4"/>
  <c r="A53" i="4"/>
  <c r="E52" i="4"/>
  <c r="A52" i="4"/>
  <c r="E51" i="4"/>
  <c r="A51" i="4"/>
  <c r="D51" i="4" s="1"/>
  <c r="E50" i="4"/>
  <c r="A50" i="4"/>
  <c r="E49" i="4"/>
  <c r="A49" i="4"/>
  <c r="E48" i="4"/>
  <c r="A48" i="4"/>
  <c r="E47" i="4"/>
  <c r="A47" i="4"/>
  <c r="E46" i="4"/>
  <c r="A46" i="4"/>
  <c r="E45" i="4"/>
  <c r="A45" i="4"/>
  <c r="E44" i="4"/>
  <c r="A44" i="4"/>
  <c r="E43" i="4"/>
  <c r="A43" i="4"/>
  <c r="E42" i="4"/>
  <c r="A42" i="4"/>
  <c r="E41" i="4"/>
  <c r="A41" i="4"/>
  <c r="E40" i="4"/>
  <c r="A40" i="4"/>
  <c r="E39" i="4"/>
  <c r="A39" i="4"/>
  <c r="E38" i="4"/>
  <c r="A38" i="4"/>
  <c r="E37" i="4"/>
  <c r="A37" i="4"/>
  <c r="B37" i="4" s="1"/>
  <c r="E36" i="4"/>
  <c r="A36" i="4"/>
  <c r="E35" i="4"/>
  <c r="A35" i="4"/>
  <c r="E34" i="4"/>
  <c r="A34" i="4"/>
  <c r="E33" i="4"/>
  <c r="A33" i="4"/>
  <c r="E32" i="4"/>
  <c r="A32" i="4"/>
  <c r="E31" i="4"/>
  <c r="A31" i="4"/>
  <c r="E30" i="4"/>
  <c r="A30" i="4"/>
  <c r="E29" i="4"/>
  <c r="A29" i="4"/>
  <c r="E28" i="4"/>
  <c r="A28" i="4"/>
  <c r="E27" i="4"/>
  <c r="A27" i="4"/>
  <c r="E26" i="4"/>
  <c r="A26" i="4"/>
  <c r="E25" i="4"/>
  <c r="A25" i="4"/>
  <c r="E24" i="4"/>
  <c r="A24" i="4"/>
  <c r="E23" i="4"/>
  <c r="A23" i="4"/>
  <c r="E22" i="4"/>
  <c r="A22" i="4"/>
  <c r="E21" i="4"/>
  <c r="A21" i="4"/>
  <c r="E20" i="4"/>
  <c r="A20" i="4"/>
  <c r="E19" i="4"/>
  <c r="A19" i="4"/>
  <c r="E18" i="4"/>
  <c r="A18" i="4"/>
  <c r="E17" i="4"/>
  <c r="A17" i="4"/>
  <c r="E16" i="4"/>
  <c r="A16" i="4"/>
  <c r="E15" i="4"/>
  <c r="A15" i="4"/>
  <c r="E14" i="4"/>
  <c r="A14" i="4"/>
  <c r="E13" i="4"/>
  <c r="A13" i="4"/>
  <c r="E12" i="4"/>
  <c r="A12" i="4"/>
  <c r="E11" i="4"/>
  <c r="A11" i="4"/>
  <c r="E10" i="4"/>
  <c r="C10" i="4"/>
  <c r="A10" i="4"/>
  <c r="E9" i="4"/>
  <c r="A9" i="4"/>
  <c r="E8" i="4"/>
  <c r="A8" i="4"/>
  <c r="E7" i="4"/>
  <c r="A7" i="4"/>
  <c r="E6" i="4"/>
  <c r="A6" i="4"/>
  <c r="E5" i="4"/>
  <c r="A5" i="4"/>
  <c r="E4" i="4"/>
  <c r="A4" i="4"/>
  <c r="E3" i="4"/>
  <c r="A3" i="4"/>
  <c r="E2" i="4"/>
  <c r="A2" i="4"/>
  <c r="E1" i="4"/>
  <c r="A1" i="4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5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0" i="3"/>
  <c r="A49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1" i="3"/>
  <c r="A9" i="2"/>
  <c r="A6" i="2"/>
  <c r="A48" i="3" s="1"/>
  <c r="D2" i="2"/>
  <c r="A134" i="3" s="1"/>
  <c r="B189" i="4" l="1"/>
  <c r="D189" i="4"/>
  <c r="C189" i="4"/>
  <c r="D134" i="4"/>
  <c r="B134" i="4"/>
  <c r="C134" i="4"/>
  <c r="B120" i="4"/>
  <c r="D120" i="4"/>
  <c r="C120" i="4"/>
  <c r="D79" i="4"/>
  <c r="B79" i="4"/>
  <c r="C79" i="4"/>
  <c r="B10" i="4"/>
  <c r="D10" i="4"/>
  <c r="A136" i="3"/>
  <c r="A157" i="3"/>
  <c r="D202" i="4"/>
  <c r="C202" i="4"/>
  <c r="B202" i="4"/>
  <c r="D201" i="4"/>
  <c r="C201" i="4"/>
  <c r="B201" i="4"/>
  <c r="D200" i="4"/>
  <c r="C200" i="4"/>
  <c r="B200" i="4"/>
  <c r="D199" i="4"/>
  <c r="C199" i="4"/>
  <c r="B199" i="4"/>
  <c r="D198" i="4"/>
  <c r="C198" i="4"/>
  <c r="B198" i="4"/>
  <c r="D197" i="4"/>
  <c r="C197" i="4"/>
  <c r="B197" i="4"/>
  <c r="D196" i="4"/>
  <c r="C196" i="4"/>
  <c r="B196" i="4"/>
  <c r="D195" i="4"/>
  <c r="C195" i="4"/>
  <c r="B195" i="4"/>
  <c r="D194" i="4"/>
  <c r="C194" i="4"/>
  <c r="B194" i="4"/>
  <c r="D193" i="4"/>
  <c r="C193" i="4"/>
  <c r="B193" i="4"/>
  <c r="D192" i="4"/>
  <c r="C192" i="4"/>
  <c r="B192" i="4"/>
  <c r="D191" i="4"/>
  <c r="C191" i="4"/>
  <c r="B191" i="4"/>
  <c r="D190" i="4"/>
  <c r="C190" i="4"/>
  <c r="B190" i="4"/>
  <c r="D188" i="4"/>
  <c r="C188" i="4"/>
  <c r="B188" i="4"/>
  <c r="D187" i="4"/>
  <c r="C187" i="4"/>
  <c r="B187" i="4"/>
  <c r="D186" i="4"/>
  <c r="C186" i="4"/>
  <c r="B186" i="4"/>
  <c r="D185" i="4"/>
  <c r="C185" i="4"/>
  <c r="B185" i="4"/>
  <c r="D184" i="4"/>
  <c r="C184" i="4"/>
  <c r="B184" i="4"/>
  <c r="D183" i="4"/>
  <c r="C183" i="4"/>
  <c r="B183" i="4"/>
  <c r="D182" i="4"/>
  <c r="C182" i="4"/>
  <c r="B182" i="4"/>
  <c r="D181" i="4"/>
  <c r="C181" i="4"/>
  <c r="B181" i="4"/>
  <c r="D180" i="4"/>
  <c r="C180" i="4"/>
  <c r="B180" i="4"/>
  <c r="D179" i="4"/>
  <c r="C179" i="4"/>
  <c r="B179" i="4"/>
  <c r="D178" i="4"/>
  <c r="C178" i="4"/>
  <c r="B178" i="4"/>
  <c r="D177" i="4"/>
  <c r="C177" i="4"/>
  <c r="B177" i="4"/>
  <c r="D176" i="4"/>
  <c r="C176" i="4"/>
  <c r="B176" i="4"/>
  <c r="C175" i="4"/>
  <c r="B175" i="4"/>
  <c r="D174" i="4"/>
  <c r="C174" i="4"/>
  <c r="B174" i="4"/>
  <c r="D173" i="4"/>
  <c r="C173" i="4"/>
  <c r="B173" i="4"/>
  <c r="D172" i="4"/>
  <c r="C172" i="4"/>
  <c r="B172" i="4"/>
  <c r="D171" i="4"/>
  <c r="C171" i="4"/>
  <c r="B171" i="4"/>
  <c r="D170" i="4"/>
  <c r="C170" i="4"/>
  <c r="B170" i="4"/>
  <c r="D169" i="4"/>
  <c r="C169" i="4"/>
  <c r="B169" i="4"/>
  <c r="D168" i="4"/>
  <c r="C168" i="4"/>
  <c r="B168" i="4"/>
  <c r="D167" i="4"/>
  <c r="C167" i="4"/>
  <c r="B167" i="4"/>
  <c r="D166" i="4"/>
  <c r="C166" i="4"/>
  <c r="B166" i="4"/>
  <c r="D165" i="4"/>
  <c r="C165" i="4"/>
  <c r="B165" i="4"/>
  <c r="D164" i="4"/>
  <c r="C164" i="4"/>
  <c r="B164" i="4"/>
  <c r="D163" i="4"/>
  <c r="C163" i="4"/>
  <c r="B163" i="4"/>
  <c r="D162" i="4"/>
  <c r="C162" i="4"/>
  <c r="B162" i="4"/>
  <c r="D161" i="4"/>
  <c r="C161" i="4"/>
  <c r="B161" i="4"/>
  <c r="C160" i="4"/>
  <c r="B160" i="4"/>
  <c r="D160" i="4"/>
  <c r="C159" i="4"/>
  <c r="D159" i="4"/>
  <c r="D158" i="4"/>
  <c r="C158" i="4"/>
  <c r="B158" i="4"/>
  <c r="D157" i="4"/>
  <c r="C157" i="4"/>
  <c r="B157" i="4"/>
  <c r="D156" i="4"/>
  <c r="C156" i="4"/>
  <c r="B156" i="4"/>
  <c r="D155" i="4"/>
  <c r="B155" i="4"/>
  <c r="C155" i="4"/>
  <c r="D154" i="4"/>
  <c r="C154" i="4"/>
  <c r="B154" i="4"/>
  <c r="C153" i="4"/>
  <c r="B153" i="4"/>
  <c r="D153" i="4"/>
  <c r="D152" i="4"/>
  <c r="C152" i="4"/>
  <c r="B152" i="4"/>
  <c r="D151" i="4"/>
  <c r="C151" i="4"/>
  <c r="B151" i="4"/>
  <c r="D150" i="4"/>
  <c r="C150" i="4"/>
  <c r="B150" i="4"/>
  <c r="D149" i="4"/>
  <c r="C149" i="4"/>
  <c r="B149" i="4"/>
  <c r="D148" i="4"/>
  <c r="C148" i="4"/>
  <c r="B148" i="4"/>
  <c r="D147" i="4"/>
  <c r="C147" i="4"/>
  <c r="B147" i="4"/>
  <c r="D146" i="4"/>
  <c r="C146" i="4"/>
  <c r="B146" i="4"/>
  <c r="D145" i="4"/>
  <c r="C145" i="4"/>
  <c r="B145" i="4"/>
  <c r="D144" i="4"/>
  <c r="C144" i="4"/>
  <c r="B144" i="4"/>
  <c r="D143" i="4"/>
  <c r="C143" i="4"/>
  <c r="B143" i="4"/>
  <c r="D142" i="4"/>
  <c r="C142" i="4"/>
  <c r="B142" i="4"/>
  <c r="D141" i="4"/>
  <c r="C141" i="4"/>
  <c r="B141" i="4"/>
  <c r="D140" i="4"/>
  <c r="C140" i="4"/>
  <c r="B140" i="4"/>
  <c r="D139" i="4"/>
  <c r="C139" i="4"/>
  <c r="B139" i="4"/>
  <c r="D138" i="4"/>
  <c r="C138" i="4"/>
  <c r="B138" i="4"/>
  <c r="D137" i="4"/>
  <c r="C137" i="4"/>
  <c r="B137" i="4"/>
  <c r="D136" i="4"/>
  <c r="C136" i="4"/>
  <c r="B136" i="4"/>
  <c r="D135" i="4"/>
  <c r="C135" i="4"/>
  <c r="B135" i="4"/>
  <c r="D133" i="4"/>
  <c r="C133" i="4"/>
  <c r="B133" i="4"/>
  <c r="D132" i="4"/>
  <c r="C132" i="4"/>
  <c r="B132" i="4"/>
  <c r="D131" i="4"/>
  <c r="C131" i="4"/>
  <c r="B131" i="4"/>
  <c r="D130" i="4"/>
  <c r="C130" i="4"/>
  <c r="B130" i="4"/>
  <c r="D129" i="4"/>
  <c r="C129" i="4"/>
  <c r="B129" i="4"/>
  <c r="D128" i="4"/>
  <c r="C128" i="4"/>
  <c r="B128" i="4"/>
  <c r="D127" i="4"/>
  <c r="C127" i="4"/>
  <c r="B127" i="4"/>
  <c r="D126" i="4"/>
  <c r="C126" i="4"/>
  <c r="B126" i="4"/>
  <c r="D125" i="4"/>
  <c r="C125" i="4"/>
  <c r="B125" i="4"/>
  <c r="D124" i="4"/>
  <c r="C124" i="4"/>
  <c r="B124" i="4"/>
  <c r="D123" i="4"/>
  <c r="C123" i="4"/>
  <c r="B123" i="4"/>
  <c r="D122" i="4"/>
  <c r="C122" i="4"/>
  <c r="B122" i="4"/>
  <c r="D121" i="4"/>
  <c r="C121" i="4"/>
  <c r="B121" i="4"/>
  <c r="D119" i="4"/>
  <c r="C119" i="4"/>
  <c r="B119" i="4"/>
  <c r="D118" i="4"/>
  <c r="C118" i="4"/>
  <c r="B118" i="4"/>
  <c r="D117" i="4"/>
  <c r="C117" i="4"/>
  <c r="B117" i="4"/>
  <c r="D116" i="4"/>
  <c r="C116" i="4"/>
  <c r="B116" i="4"/>
  <c r="D115" i="4"/>
  <c r="C115" i="4"/>
  <c r="B115" i="4"/>
  <c r="D114" i="4"/>
  <c r="C114" i="4"/>
  <c r="B114" i="4"/>
  <c r="D113" i="4"/>
  <c r="C113" i="4"/>
  <c r="B113" i="4"/>
  <c r="D112" i="4"/>
  <c r="C112" i="4"/>
  <c r="B112" i="4"/>
  <c r="D111" i="4"/>
  <c r="C111" i="4"/>
  <c r="B111" i="4"/>
  <c r="D110" i="4"/>
  <c r="C110" i="4"/>
  <c r="B110" i="4"/>
  <c r="D109" i="4"/>
  <c r="C109" i="4"/>
  <c r="B109" i="4"/>
  <c r="D108" i="4"/>
  <c r="C108" i="4"/>
  <c r="B108" i="4"/>
  <c r="D107" i="4"/>
  <c r="C107" i="4"/>
  <c r="B107" i="4"/>
  <c r="C106" i="4"/>
  <c r="D106" i="4"/>
  <c r="C105" i="4"/>
  <c r="B105" i="4"/>
  <c r="D105" i="4"/>
  <c r="D104" i="4"/>
  <c r="C104" i="4"/>
  <c r="B104" i="4"/>
  <c r="D103" i="4"/>
  <c r="C103" i="4"/>
  <c r="B103" i="4"/>
  <c r="D102" i="4"/>
  <c r="C102" i="4"/>
  <c r="B102" i="4"/>
  <c r="D101" i="4"/>
  <c r="C101" i="4"/>
  <c r="B101" i="4"/>
  <c r="B100" i="4"/>
  <c r="D100" i="4"/>
  <c r="C100" i="4"/>
  <c r="B99" i="4"/>
  <c r="D99" i="4"/>
  <c r="C99" i="4"/>
  <c r="D98" i="4"/>
  <c r="C98" i="4"/>
  <c r="B98" i="4"/>
  <c r="D97" i="4"/>
  <c r="C97" i="4"/>
  <c r="B97" i="4"/>
  <c r="D96" i="4"/>
  <c r="C96" i="4"/>
  <c r="B96" i="4"/>
  <c r="D95" i="4"/>
  <c r="C95" i="4"/>
  <c r="B95" i="4"/>
  <c r="D94" i="4"/>
  <c r="C94" i="4"/>
  <c r="B94" i="4"/>
  <c r="D93" i="4"/>
  <c r="C93" i="4"/>
  <c r="B93" i="4"/>
  <c r="D92" i="4"/>
  <c r="C92" i="4"/>
  <c r="B92" i="4"/>
  <c r="B91" i="4"/>
  <c r="C91" i="4"/>
  <c r="D91" i="4"/>
  <c r="B90" i="4"/>
  <c r="C90" i="4"/>
  <c r="D90" i="4"/>
  <c r="C89" i="4"/>
  <c r="D89" i="4"/>
  <c r="B89" i="4"/>
  <c r="C88" i="4"/>
  <c r="D88" i="4"/>
  <c r="B88" i="4"/>
  <c r="B87" i="4"/>
  <c r="D87" i="4"/>
  <c r="C87" i="4"/>
  <c r="C86" i="4"/>
  <c r="B86" i="4"/>
  <c r="D86" i="4"/>
  <c r="D85" i="4"/>
  <c r="B85" i="4"/>
  <c r="C85" i="4"/>
  <c r="D84" i="4"/>
  <c r="C84" i="4"/>
  <c r="B84" i="4"/>
  <c r="D83" i="4"/>
  <c r="C83" i="4"/>
  <c r="B83" i="4"/>
  <c r="D82" i="4"/>
  <c r="C82" i="4"/>
  <c r="B82" i="4"/>
  <c r="D81" i="4"/>
  <c r="C81" i="4"/>
  <c r="B81" i="4"/>
  <c r="D80" i="4"/>
  <c r="B80" i="4"/>
  <c r="C80" i="4"/>
  <c r="D78" i="4"/>
  <c r="C78" i="4"/>
  <c r="B78" i="4"/>
  <c r="D77" i="4"/>
  <c r="C77" i="4"/>
  <c r="B77" i="4"/>
  <c r="D76" i="4"/>
  <c r="C76" i="4"/>
  <c r="B76" i="4"/>
  <c r="D75" i="4"/>
  <c r="C75" i="4"/>
  <c r="B75" i="4"/>
  <c r="D74" i="4"/>
  <c r="C74" i="4"/>
  <c r="B74" i="4"/>
  <c r="D73" i="4"/>
  <c r="C73" i="4"/>
  <c r="B73" i="4"/>
  <c r="D72" i="4"/>
  <c r="C72" i="4"/>
  <c r="B72" i="4"/>
  <c r="D71" i="4"/>
  <c r="C71" i="4"/>
  <c r="B71" i="4"/>
  <c r="D70" i="4"/>
  <c r="C70" i="4"/>
  <c r="B70" i="4"/>
  <c r="D69" i="4"/>
  <c r="C69" i="4"/>
  <c r="B69" i="4"/>
  <c r="D68" i="4"/>
  <c r="C68" i="4"/>
  <c r="B68" i="4"/>
  <c r="D67" i="4"/>
  <c r="C67" i="4"/>
  <c r="B67" i="4"/>
  <c r="D66" i="4"/>
  <c r="C66" i="4"/>
  <c r="B66" i="4"/>
  <c r="D65" i="4"/>
  <c r="C65" i="4"/>
  <c r="D64" i="4"/>
  <c r="C64" i="4"/>
  <c r="B64" i="4"/>
  <c r="D63" i="4"/>
  <c r="C63" i="4"/>
  <c r="B63" i="4"/>
  <c r="D62" i="4"/>
  <c r="C62" i="4"/>
  <c r="B62" i="4"/>
  <c r="D61" i="4"/>
  <c r="C61" i="4"/>
  <c r="B61" i="4"/>
  <c r="D60" i="4"/>
  <c r="C60" i="4"/>
  <c r="B60" i="4"/>
  <c r="D59" i="4"/>
  <c r="C59" i="4"/>
  <c r="B59" i="4"/>
  <c r="D58" i="4"/>
  <c r="C58" i="4"/>
  <c r="B58" i="4"/>
  <c r="D57" i="4"/>
  <c r="C57" i="4"/>
  <c r="B57" i="4"/>
  <c r="D56" i="4"/>
  <c r="C56" i="4"/>
  <c r="B56" i="4"/>
  <c r="D55" i="4"/>
  <c r="C55" i="4"/>
  <c r="B55" i="4"/>
  <c r="D54" i="4"/>
  <c r="C54" i="4"/>
  <c r="B54" i="4"/>
  <c r="D53" i="4"/>
  <c r="C53" i="4"/>
  <c r="B53" i="4"/>
  <c r="D52" i="4"/>
  <c r="C52" i="4"/>
  <c r="B52" i="4"/>
  <c r="C51" i="4"/>
  <c r="B51" i="4"/>
  <c r="D50" i="4"/>
  <c r="C50" i="4"/>
  <c r="B50" i="4"/>
  <c r="D49" i="4"/>
  <c r="C49" i="4"/>
  <c r="B49" i="4"/>
  <c r="D48" i="4"/>
  <c r="C48" i="4"/>
  <c r="B48" i="4"/>
  <c r="D47" i="4"/>
  <c r="C47" i="4"/>
  <c r="B47" i="4"/>
  <c r="D46" i="4"/>
  <c r="C46" i="4"/>
  <c r="B46" i="4"/>
  <c r="D45" i="4"/>
  <c r="C45" i="4"/>
  <c r="B45" i="4"/>
  <c r="D44" i="4"/>
  <c r="C44" i="4"/>
  <c r="B44" i="4"/>
  <c r="D43" i="4"/>
  <c r="C43" i="4"/>
  <c r="B43" i="4"/>
  <c r="D42" i="4"/>
  <c r="C42" i="4"/>
  <c r="B42" i="4"/>
  <c r="D41" i="4"/>
  <c r="C41" i="4"/>
  <c r="B41" i="4"/>
  <c r="D40" i="4"/>
  <c r="C40" i="4"/>
  <c r="B40" i="4"/>
  <c r="D39" i="4"/>
  <c r="C39" i="4"/>
  <c r="B39" i="4"/>
  <c r="D38" i="4"/>
  <c r="C38" i="4"/>
  <c r="B38" i="4"/>
  <c r="C37" i="4"/>
  <c r="D37" i="4"/>
  <c r="D36" i="4"/>
  <c r="C36" i="4"/>
  <c r="B36" i="4"/>
  <c r="D35" i="4"/>
  <c r="C35" i="4"/>
  <c r="B35" i="4"/>
  <c r="D34" i="4"/>
  <c r="C34" i="4"/>
  <c r="B34" i="4"/>
  <c r="D33" i="4"/>
  <c r="C33" i="4"/>
  <c r="B33" i="4"/>
  <c r="D32" i="4"/>
  <c r="C32" i="4"/>
  <c r="B32" i="4"/>
  <c r="C31" i="4"/>
  <c r="B31" i="4"/>
  <c r="D31" i="4"/>
  <c r="D30" i="4"/>
  <c r="C30" i="4"/>
  <c r="B30" i="4"/>
  <c r="C29" i="4"/>
  <c r="B29" i="4"/>
  <c r="D29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D13" i="4"/>
  <c r="C13" i="4"/>
  <c r="B13" i="4"/>
  <c r="D12" i="4"/>
  <c r="C12" i="4"/>
  <c r="B12" i="4"/>
  <c r="D11" i="4"/>
  <c r="C11" i="4"/>
  <c r="B11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  <c r="D4" i="4"/>
  <c r="C4" i="4"/>
  <c r="B4" i="4"/>
  <c r="D3" i="4"/>
  <c r="C3" i="4"/>
  <c r="B3" i="4"/>
  <c r="D2" i="4"/>
  <c r="C2" i="4"/>
  <c r="B2" i="4"/>
  <c r="D1" i="4"/>
  <c r="C1" i="4"/>
  <c r="B1" i="4"/>
  <c r="A179" i="3"/>
  <c r="A51" i="3"/>
  <c r="A31" i="3"/>
</calcChain>
</file>

<file path=xl/sharedStrings.xml><?xml version="1.0" encoding="utf-8"?>
<sst xmlns="http://schemas.openxmlformats.org/spreadsheetml/2006/main" count="831" uniqueCount="421">
  <si>
    <t># The date functions' fixture (KERNEL.8, slice d): a Data sheet of the dates the functions read, serials of 2026's</t>
  </si>
  <si>
    <t>OK</t>
  </si>
  <si>
    <t># first day, of 2024's leap day, of 1900's day that never was and of the calendar's day 0 and last day, a time, a</t>
  </si>
  <si>
    <t># truth value, an error, texts a locale reads and one spelling a number, and holidays, one given twice, one on a</t>
  </si>
  <si>
    <t># weekend, one empty and one far off, beside holidays of a text, a truth value and a date a locale reads; a Functions</t>
  </si>
  <si>
    <t># sheet of one formula a function and a rule, each a legacy formula, the edges Excel's documentation is silent on</t>
  </si>
  <si>
    <t># among them, arithmetic over the texts a locale reads, from row 298 the edges Excel's first save left the fold to</t>
  </si>
  <si>
    <t># choose, which its second witnessed, from row 349 those its second left, for its third, and from row 360 the third's</t>
  </si>
  <si>
    <t># reading of DATEDIF's "YD", for its fourth; and a Calendar sheet of every year from 1900 to 2101, a row each: its</t>
  </si>
  <si>
    <t># first day's serial, February's length, the first day's weekday and ISO week, the year before's last day's year,</t>
  </si>
  <si>
    <t># month and day, and the last day's ISO week, from which, with the months' fixed lengths, every day's YEAR, MONTH, DAY</t>
  </si>
  <si>
    <t># and WEEKDAY follow. Built by frazaro into dates.xlsx (each value it computes held); the owner's save of it is</t>
  </si>
  <si>
    <t># dates_saved.xlsx.</t>
  </si>
  <si>
    <t>Work on sheet Data.</t>
  </si>
  <si>
    <t>Put 46023 into cell A1.</t>
  </si>
  <si>
    <t>Put 45351 into cell A2.</t>
  </si>
  <si>
    <t>Put 60 into cell A3.</t>
  </si>
  <si>
    <t>Put 0 into cell A4.</t>
  </si>
  <si>
    <t>Put 46023.75 into cell A5.</t>
  </si>
  <si>
    <t>Put 2958465 into cell A11.</t>
  </si>
  <si>
    <t>Put 45658.999999 into cell A12.</t>
  </si>
  <si>
    <t>Put 46027 into cell B1.</t>
  </si>
  <si>
    <t>Put 46028 into cell B2.</t>
  </si>
  <si>
    <t>Put 46027 into cell B3.</t>
  </si>
  <si>
    <t>Put 46032 into cell B4.</t>
  </si>
  <si>
    <t>Put 46100 into cell B6.</t>
  </si>
  <si>
    <t>Put 46027 into cell C1.</t>
  </si>
  <si>
    <t>Put 46027 into cell D1.</t>
  </si>
  <si>
    <t>Put 46027 into cell E1.</t>
  </si>
  <si>
    <t>Put "1/1/2026" into cell A7.</t>
  </si>
  <si>
    <t>Put "abc" into cell A8.</t>
  </si>
  <si>
    <t>Put "46023" into cell A10.</t>
  </si>
  <si>
    <t>Put "46028" into cell C2.</t>
  </si>
  <si>
    <t>Put "1/6/2026" into cell E2.</t>
  </si>
  <si>
    <t>Put "1,000" into cell F1.</t>
  </si>
  <si>
    <t>Put "$5" into cell F2.</t>
  </si>
  <si>
    <t>Put "12abc" into cell F3.</t>
  </si>
  <si>
    <t>Put "5" into cell F4.</t>
  </si>
  <si>
    <t>Put formula "=TRUE" into cell A6.</t>
  </si>
  <si>
    <t>Put formula "=1/0" into cell A9.</t>
  </si>
  <si>
    <t>Put formula "=TRUE" into cell D2.</t>
  </si>
  <si>
    <t>Work on sheet Functions.</t>
  </si>
  <si>
    <t>Put formula "=DATE(2026,1,1)" into cell A1.</t>
  </si>
  <si>
    <t>Put formula "=DATE(1900,1,1)" into cell A2.</t>
  </si>
  <si>
    <t>Put formula "=DATE(1900,1,0)" into cell A3.</t>
  </si>
  <si>
    <t>Put formula "=DATE(1900,2,28)" into cell A4.</t>
  </si>
  <si>
    <t>Put formula "=DATE(1900,2,29)" into cell A5.</t>
  </si>
  <si>
    <t>Put formula "=DATE(1900,2,30)" into cell A6.</t>
  </si>
  <si>
    <t>Put formula "=DATE(1900,3,0)" into cell A7.</t>
  </si>
  <si>
    <t>Put formula "=DATE(1900,3,1)" into cell A8.</t>
  </si>
  <si>
    <t>Put formula "=DATE(1900,0,31)" into cell A9.</t>
  </si>
  <si>
    <t>Put formula "=DATE(1900,1,-1)" into cell A10.</t>
  </si>
  <si>
    <t>Put formula "=DATE(108,1,2)" into cell A11.</t>
  </si>
  <si>
    <t>Put formula "=DATE(1,1,1)" into cell A12.</t>
  </si>
  <si>
    <t>Put formula "=DATE(1899,12,31)" into cell A13.</t>
  </si>
  <si>
    <t>Put formula "=DATE(2008,14,2)" into cell A14.</t>
  </si>
  <si>
    <t>Put formula "=DATE(2008,-3,2)" into cell A15.</t>
  </si>
  <si>
    <t>Put formula "=DATE(2008,1,35)" into cell A16.</t>
  </si>
  <si>
    <t>Put formula "=DATE(2008,1,-15)" into cell A17.</t>
  </si>
  <si>
    <t>Put formula "=DATE(-1,1,1)" into cell A18.</t>
  </si>
  <si>
    <t>Put formula "=DATE(10000,1,1)" into cell A19.</t>
  </si>
  <si>
    <t>Put formula "=DATE(10000,-11,1)" into cell A20.</t>
  </si>
  <si>
    <t>Put formula "=DATE(9999,12,31)" into cell A21.</t>
  </si>
  <si>
    <t>Put formula "=DATE(9999,12,32)" into cell A22.</t>
  </si>
  <si>
    <t>Put formula "=DATE(9999,13,-31)" into cell A23.</t>
  </si>
  <si>
    <t>Put formula "=DATE(2026.9,1.9,1.9)" into cell A24.</t>
  </si>
  <si>
    <t>Put formula "=DATE(2026,1,-0.5)" into cell A25.</t>
  </si>
  <si>
    <t>Put formula "=DATE(2026,-0.5,1)" into cell A26.</t>
  </si>
  <si>
    <t>Put formula "=DATE(-0.5,1,1)" into cell A27.</t>
  </si>
  <si>
    <t>Put formula "=DATE(1899.9,1,1)" into cell A28.</t>
  </si>
  <si>
    <t>Put formula "=DATE(""2026"",1,1)" into cell A29.</t>
  </si>
  <si>
    <t>Put formula "=DATE(TRUE,1,1)" into cell A30.</t>
  </si>
  <si>
    <t>Put formula "=DATE(Data!A9,1,1)" into cell A31.</t>
  </si>
  <si>
    <t>Put formula "=DATE(2026,1,Data!F1)" into cell A32.</t>
  </si>
  <si>
    <t>Put formula "=YEAR(Data!A1)" into cell A33.</t>
  </si>
  <si>
    <t>Put formula "=MONTH(Data!A1)" into cell A34.</t>
  </si>
  <si>
    <t>Put formula "=DAY(Data!A1)" into cell A35.</t>
  </si>
  <si>
    <t>Put formula "=YEAR(Data!A2)" into cell A36.</t>
  </si>
  <si>
    <t>Put formula "=MONTH(Data!A2)" into cell A37.</t>
  </si>
  <si>
    <t>Put formula "=DAY(Data!A2)" into cell A38.</t>
  </si>
  <si>
    <t>Put formula "=YEAR(Data!A3)" into cell A39.</t>
  </si>
  <si>
    <t>Put formula "=MONTH(Data!A3)" into cell A40.</t>
  </si>
  <si>
    <t>Put formula "=DAY(Data!A3)" into cell A41.</t>
  </si>
  <si>
    <t>Put formula "=YEAR(Data!A4)" into cell A42.</t>
  </si>
  <si>
    <t>Put formula "=MONTH(Data!A4)" into cell A43.</t>
  </si>
  <si>
    <t>Put formula "=DAY(Data!A4)" into cell A44.</t>
  </si>
  <si>
    <t>Put formula "=DAY(59)" into cell A45.</t>
  </si>
  <si>
    <t>Put formula "=DAY(61)" into cell A46.</t>
  </si>
  <si>
    <t>Put formula "=DAY(Data!A5)" into cell A47.</t>
  </si>
  <si>
    <t>Put formula "=YEAR(Data!A6)" into cell A48.</t>
  </si>
  <si>
    <t>Put formula "=YEAR(Data!A7)" into cell A49.</t>
  </si>
  <si>
    <t>Put formula "=YEAR(Data!A8)" into cell A50.</t>
  </si>
  <si>
    <t>Put formula "=YEAR(Data!A9)" into cell A51.</t>
  </si>
  <si>
    <t>Put formula "=YEAR(Data!A10)" into cell A52.</t>
  </si>
  <si>
    <t>Put formula "=YEAR(Data!A11)" into cell A53.</t>
  </si>
  <si>
    <t>Put formula "=MONTH(Data!A11)" into cell A54.</t>
  </si>
  <si>
    <t>Put formula "=DAY(Data!A11)" into cell A55.</t>
  </si>
  <si>
    <t>Put formula "=YEAR(2958465.9999999)" into cell A56.</t>
  </si>
  <si>
    <t>Put formula "=YEAR(2958466)" into cell A57.</t>
  </si>
  <si>
    <t>Put formula "=YEAR(-1)" into cell A58.</t>
  </si>
  <si>
    <t>Put formula "=YEAR(-0.5)" into cell A59.</t>
  </si>
  <si>
    <t>Put formula "=DAY(Data!A12)" into cell A60.</t>
  </si>
  <si>
    <t>Put formula "=DAY(45658.99999999)" into cell A61.</t>
  </si>
  <si>
    <t>Put formula "=DAY(45658.9999999999)" into cell A62.</t>
  </si>
  <si>
    <t>Put formula "=YEAR("""")" into cell A63.</t>
  </si>
  <si>
    <t>Put formula "=MONTH(45658.5)" into cell A64.</t>
  </si>
  <si>
    <t>Put formula "=DAY(Data!B5)" into cell A65.</t>
  </si>
  <si>
    <t>Put formula "=WEEKDAY(Data!A1)" into cell A66.</t>
  </si>
  <si>
    <t>Put formula "=WEEKDAY(Data!A1,1)" into cell A67.</t>
  </si>
  <si>
    <t>Put formula "=WEEKDAY(Data!A1,2)" into cell A68.</t>
  </si>
  <si>
    <t>Put formula "=WEEKDAY(Data!A1,3)" into cell A69.</t>
  </si>
  <si>
    <t>Put formula "=WEEKDAY(Data!A1,11)" into cell A70.</t>
  </si>
  <si>
    <t>Put formula "=WEEKDAY(Data!A1,12)" into cell A71.</t>
  </si>
  <si>
    <t>Put formula "=WEEKDAY(Data!A1,13)" into cell A72.</t>
  </si>
  <si>
    <t>Put formula "=WEEKDAY(Data!A1,14)" into cell A73.</t>
  </si>
  <si>
    <t>Put formula "=WEEKDAY(Data!A1,15)" into cell A74.</t>
  </si>
  <si>
    <t>Put formula "=WEEKDAY(Data!A1,16)" into cell A75.</t>
  </si>
  <si>
    <t>Put formula "=WEEKDAY(Data!A1,17)" into cell A76.</t>
  </si>
  <si>
    <t>Put formula "=WEEKDAY(Data!A1,1.9)" into cell A77.</t>
  </si>
  <si>
    <t>Put formula "=WEEKDAY(Data!A1,0)" into cell A78.</t>
  </si>
  <si>
    <t>Put formula "=WEEKDAY(Data!A1,4)" into cell A79.</t>
  </si>
  <si>
    <t>Put formula "=WEEKDAY(Data!A1,18)" into cell A80.</t>
  </si>
  <si>
    <t>Put formula "=WEEKDAY(0)" into cell A81.</t>
  </si>
  <si>
    <t>Put formula "=WEEKDAY(1)" into cell A82.</t>
  </si>
  <si>
    <t>Put formula "=WEEKDAY(59)" into cell A83.</t>
  </si>
  <si>
    <t>Put formula "=WEEKDAY(60)" into cell A84.</t>
  </si>
  <si>
    <t>Put formula "=WEEKDAY(61)" into cell A85.</t>
  </si>
  <si>
    <t>Put formula "=WEEKDAY(0,2)" into cell A86.</t>
  </si>
  <si>
    <t>Put formula "=WEEKDAY(0,3)" into cell A87.</t>
  </si>
  <si>
    <t>Put formula "=WEEKDAY(-1)" into cell A88.</t>
  </si>
  <si>
    <t>Put formula "=WEEKDAY(Data!A7)" into cell A89.</t>
  </si>
  <si>
    <t>Put formula "=EOMONTH(Data!A1,0)" into cell A90.</t>
  </si>
  <si>
    <t>Put formula "=EOMONTH(Data!A1,1)" into cell A91.</t>
  </si>
  <si>
    <t>Put formula "=EOMONTH(Data!A2,-1)" into cell A92.</t>
  </si>
  <si>
    <t>Put formula "=EOMONTH(Data!A2,12)" into cell A93.</t>
  </si>
  <si>
    <t>Put formula "=EOMONTH(Data!A1,1.9)" into cell A94.</t>
  </si>
  <si>
    <t>Put formula "=EOMONTH(Data!A1,-1.9)" into cell A95.</t>
  </si>
  <si>
    <t>Put formula "=EOMONTH(DATE(1900,1,15),1)" into cell A96.</t>
  </si>
  <si>
    <t>Put formula "=EOMONTH(1,-1)" into cell A97.</t>
  </si>
  <si>
    <t>Put formula "=EOMONTH(0,0)" into cell A98.</t>
  </si>
  <si>
    <t>Put formula "=EOMONTH(60,0)" into cell A99.</t>
  </si>
  <si>
    <t>Put formula "=EOMONTH(DATE(9999,12,1),0)" into cell A100.</t>
  </si>
  <si>
    <t>Put formula "=EOMONTH(DATE(9999,12,1),1)" into cell A101.</t>
  </si>
  <si>
    <t>Put formula "=EOMONTH(Data!A1,""1"")" into cell A102.</t>
  </si>
  <si>
    <t>Put formula "=EOMONTH(Data!A7,0)" into cell A103.</t>
  </si>
  <si>
    <t>Put formula "=EDATE(DATE(2011,1,31),1)" into cell A104.</t>
  </si>
  <si>
    <t>Put formula "=EDATE(Data!A2,12)" into cell A105.</t>
  </si>
  <si>
    <t>Put formula "=EDATE(Data!A2,-12)" into cell A106.</t>
  </si>
  <si>
    <t>Put formula "=EDATE(Data!A2,48)" into cell A107.</t>
  </si>
  <si>
    <t>Put formula "=EDATE(Data!A1,-1.9)" into cell A108.</t>
  </si>
  <si>
    <t>Put formula "=EDATE(Data!A1,1.9)" into cell A109.</t>
  </si>
  <si>
    <t>Put formula "=EDATE(DATE(1900,1,31),1)" into cell A110.</t>
  </si>
  <si>
    <t>Put formula "=EDATE(DATE(1900,3,31),-1)" into cell A111.</t>
  </si>
  <si>
    <t>Put formula "=EDATE(31,-1)" into cell A112.</t>
  </si>
  <si>
    <t>Put formula "=EDATE(0,0)" into cell A113.</t>
  </si>
  <si>
    <t>Put formula "=EDATE(0,1)" into cell A114.</t>
  </si>
  <si>
    <t>Put formula "=EDATE(60,12)" into cell A115.</t>
  </si>
  <si>
    <t>Put formula "=EDATE(Data!A5,1)" into cell A116.</t>
  </si>
  <si>
    <t>Put formula "=DAYS(Data!A1,Data!A2)" into cell A117.</t>
  </si>
  <si>
    <t>Put formula "=DAYS(Data!A2,Data!A1)" into cell A118.</t>
  </si>
  <si>
    <t>Put formula "=DAYS(Data!A5,Data!A1)" into cell A119.</t>
  </si>
  <si>
    <t>Put formula "=DAYS(2.1,1.9)" into cell A120.</t>
  </si>
  <si>
    <t>Put formula "=DAYS(1.9,2.1)" into cell A121.</t>
  </si>
  <si>
    <t>Put formula "=DAYS(Data!A1,Data!A7)" into cell A122.</t>
  </si>
  <si>
    <t>Put formula "=DAYS(-1,1)" into cell A123.</t>
  </si>
  <si>
    <t>Put formula "=DAYS(Data!A11,0)" into cell A124.</t>
  </si>
  <si>
    <t>Put formula "=NETWORKDAYS(Data!A1,Data!A1+13)" into cell A125.</t>
  </si>
  <si>
    <t>Put formula "=NETWORKDAYS(Data!A1,Data!A1+13,Data!B1:B6)" into cell A126.</t>
  </si>
  <si>
    <t>Put formula "=NETWORKDAYS(Data!A1+13,Data!A1,Data!B1:B6)" into cell A127.</t>
  </si>
  <si>
    <t>Put formula "=NETWORKDAYS(Data!A1+2,Data!A1+3)" into cell A128.</t>
  </si>
  <si>
    <t>Put formula "=NETWORKDAYS(Data!A1,Data!A1)" into cell A129.</t>
  </si>
  <si>
    <t>Put formula "=NETWORKDAYS(Data!A1+2,Data!A1+2)" into cell A130.</t>
  </si>
  <si>
    <t>Put formula "=NETWORKDAYS(Data!A1,Data!A1,Data!A1)" into cell A131.</t>
  </si>
  <si>
    <t>Put formula "=NETWORKDAYS(Data!A1,Data!A1+13,46027)" into cell A132.</t>
  </si>
  <si>
    <t>Put formula "=NETWORKDAYS(Data!A1,Data!A1+13,Data!C1:C2)" into cell A133.</t>
  </si>
  <si>
    <t>Put formula "=NETWORKDAYS(Data!A1,Data!A1+13,Data!D1:D2)" into cell A134.</t>
  </si>
  <si>
    <t>Put formula "=NETWORKDAYS(Data!A1,Data!A1+13,Data!E1:E2)" into cell A135.</t>
  </si>
  <si>
    <t>Put formula "=NETWORKDAYS(Data!A1,Data!A1+13,Data!A9)" into cell A136.</t>
  </si>
  <si>
    <t>Put formula "=NETWORKDAYS(Data!A1+0.9,Data!A1+13.9)" into cell A137.</t>
  </si>
  <si>
    <t>Put formula "=NETWORKDAYS(Data!A1,Data!A1+365)" into cell A138.</t>
  </si>
  <si>
    <t>Put formula "=NETWORKDAYS(1,Data!A11)" into cell A139.</t>
  </si>
  <si>
    <t>Put formula "=NETWORKDAYS(Data!A7,Data!A1)" into cell A140.</t>
  </si>
  <si>
    <t>Put formula "=NETWORKDAYS(-1,Data!A1)" into cell A141.</t>
  </si>
  <si>
    <t>Put formula "=WORKDAY(Data!A1,1)" into cell A142.</t>
  </si>
  <si>
    <t>Put formula "=WORKDAY(Data!A1,2)" into cell A143.</t>
  </si>
  <si>
    <t>Put formula "=WORKDAY(Data!A1,2,Data!B1:B6)" into cell A144.</t>
  </si>
  <si>
    <t>Put formula "=WORKDAY(Data!A1,-1)" into cell A145.</t>
  </si>
  <si>
    <t>Put formula "=WORKDAY(Data!A1,0)" into cell A146.</t>
  </si>
  <si>
    <t>Put formula "=WORKDAY(Data!A1+2,0)" into cell A147.</t>
  </si>
  <si>
    <t>Put formula "=WORKDAY(Data!A1+2,1)" into cell A148.</t>
  </si>
  <si>
    <t>Put formula "=WORKDAY(Data!A1+2,-1)" into cell A149.</t>
  </si>
  <si>
    <t>Put formula "=WORKDAY(Data!A1,1.9)" into cell A150.</t>
  </si>
  <si>
    <t>Put formula "=WORKDAY(Data!A1,-1.9)" into cell A151.</t>
  </si>
  <si>
    <t>Put formula "=WORKDAY(Data!A1,10,Data!B1:B6)" into cell A152.</t>
  </si>
  <si>
    <t>Put formula "=WORKDAY(Data!A1,1000)" into cell A153.</t>
  </si>
  <si>
    <t>Put formula "=WORKDAY(Data!A1,-1000,Data!B1:B6)" into cell A154.</t>
  </si>
  <si>
    <t>Put formula "=WORKDAY(46027,0,Data!B1:B6)" into cell A155.</t>
  </si>
  <si>
    <t>Put formula "=WORKDAY(Data!A1,3,Data!C1:C2)" into cell A156.</t>
  </si>
  <si>
    <t>Put formula "=WORKDAY(Data!A1,3,Data!A9)" into cell A157.</t>
  </si>
  <si>
    <t>Put formula "=WORKDAY(1,-1)" into cell A158.</t>
  </si>
  <si>
    <t>Put formula "=WORKDAY(Data!A11,1)" into cell A159.</t>
  </si>
  <si>
    <t>Put formula "=WORKDAY(Data!A1+0.5,1)" into cell A160.</t>
  </si>
  <si>
    <t>Put formula "=TIME(18,0,0)" into cell A161.</t>
  </si>
  <si>
    <t>Put formula "=TIME(12,30,15)" into cell A162.</t>
  </si>
  <si>
    <t>Put formula "=TIME(24,0,0)" into cell A163.</t>
  </si>
  <si>
    <t>Put formula "=TIME(25,0,0)" into cell A164.</t>
  </si>
  <si>
    <t>Put formula "=TIME(23,59,60)" into cell A165.</t>
  </si>
  <si>
    <t>Put formula "=TIME(0,90,0)" into cell A166.</t>
  </si>
  <si>
    <t>Put formula "=TIME(1,-30,0)" into cell A167.</t>
  </si>
  <si>
    <t>Put formula "=TIME(1,-60,0)" into cell A168.</t>
  </si>
  <si>
    <t>Put formula "=TIME(1,-61,0)" into cell A169.</t>
  </si>
  <si>
    <t>Put formula "=TIME(-1,120,0)" into cell A170.</t>
  </si>
  <si>
    <t>Put formula "=TIME(0,0,-1)" into cell A171.</t>
  </si>
  <si>
    <t>Put formula "=TIME(0,0,59.9)" into cell A172.</t>
  </si>
  <si>
    <t>Put formula "=TIME(0,0,-0.5)" into cell A173.</t>
  </si>
  <si>
    <t>Put formula "=TIME(32767,0,0)" into cell A174.</t>
  </si>
  <si>
    <t>Put formula "=TIME(32768,0,0)" into cell A175.</t>
  </si>
  <si>
    <t>Put formula "=TIME(0,32767,0)" into cell A176.</t>
  </si>
  <si>
    <t>Put formula "=TIME(0,0,32767)" into cell A177.</t>
  </si>
  <si>
    <t>Put formula "=TIME(0,0,32768)" into cell A178.</t>
  </si>
  <si>
    <t>Put formula "=TIME(Data!A9,0,0)" into cell A179.</t>
  </si>
  <si>
    <t>Put formula "=HOUR(Data!A5)" into cell A180.</t>
  </si>
  <si>
    <t>Put formula "=MINUTE(Data!A5)" into cell A181.</t>
  </si>
  <si>
    <t>Put formula "=SECOND(Data!A5)" into cell A182.</t>
  </si>
  <si>
    <t>Put formula "=HOUR(0.75)" into cell A183.</t>
  </si>
  <si>
    <t>Put formula "=HOUR(1.75)" into cell A184.</t>
  </si>
  <si>
    <t>Put formula "=HOUR(0.999999)" into cell A185.</t>
  </si>
  <si>
    <t>Put formula "=MINUTE(0.999999)" into cell A186.</t>
  </si>
  <si>
    <t>Put formula "=SECOND(0.999999)" into cell A187.</t>
  </si>
  <si>
    <t>Put formula "=HOUR(0.99999)" into cell A188.</t>
  </si>
  <si>
    <t>Put formula "=SECOND(0.5/86400)" into cell A189.</t>
  </si>
  <si>
    <t>Put formula "=SECOND(0.49/86400)" into cell A190.</t>
  </si>
  <si>
    <t>Put formula "=SECOND(0.51/86400)" into cell A191.</t>
  </si>
  <si>
    <t>Put formula "=SECOND(TIME(1,2,3)+0.4/86400)" into cell A192.</t>
  </si>
  <si>
    <t>Put formula "=SECOND(TIME(1,2,3)+0.6/86400)" into cell A193.</t>
  </si>
  <si>
    <t>Put formula "=SECOND(TIME(1,2,3))" into cell A194.</t>
  </si>
  <si>
    <t>Put formula "=MINUTE(TIME(1,2,3))" into cell A195.</t>
  </si>
  <si>
    <t>Put formula "=HOUR(TIME(1,2,3))" into cell A196.</t>
  </si>
  <si>
    <t>Put formula "=HOUR(-0.1)" into cell A197.</t>
  </si>
  <si>
    <t>Put formula "=HOUR(2958466)" into cell A198.</t>
  </si>
  <si>
    <t>Put formula "=HOUR(Data!A7)" into cell A199.</t>
  </si>
  <si>
    <t>Put formula "=SECOND(Data!A11+0.9999999)" into cell A200.</t>
  </si>
  <si>
    <t>Put formula "=MINUTE(Data!A12)" into cell A201.</t>
  </si>
  <si>
    <t>Put formula "=DATEDIF(DATE(2001,1,1),DATE(2003,1,1),""Y"")" into cell A202.</t>
  </si>
  <si>
    <t>Put formula "=DATEDIF(DATE(2001,6,1),DATE(2002,8,15),""D"")" into cell A203.</t>
  </si>
  <si>
    <t>Put formula "=DATEDIF(DATE(2001,6,1),DATE(2002,8,15),""M"")" into cell A204.</t>
  </si>
  <si>
    <t>Put formula "=DATEDIF(DATE(2001,6,1),DATE(2002,8,15),""YM"")" into cell A205.</t>
  </si>
  <si>
    <t>Put formula "=DATEDIF(DATE(2001,6,1),DATE(2002,8,15),""YD"")" into cell A206.</t>
  </si>
  <si>
    <t>Put formula "=DATEDIF(DATE(2001,6,1),DATE(2002,8,15),""MD"")" into cell A207.</t>
  </si>
  <si>
    <t>Put formula "=DATEDIF(DATE(2001,6,1),DATE(2002,8,15),""md"")" into cell A208.</t>
  </si>
  <si>
    <t>Put formula "=DATEDIF(DATE(2011,1,31),DATE(2011,3,1),""MD"")" into cell A209.</t>
  </si>
  <si>
    <t>Put formula "=DATEDIF(DATE(2011,1,31),DATE(2011,3,1),""M"")" into cell A210.</t>
  </si>
  <si>
    <t>Put formula "=DATEDIF(DATE(2011,1,31),DATE(2011,2,28),""M"")" into cell A211.</t>
  </si>
  <si>
    <t>Put formula "=DATEDIF(DATE(2020,2,29),DATE(2021,2,28),""Y"")" into cell A212.</t>
  </si>
  <si>
    <t>Put formula "=DATEDIF(DATE(2020,2,29),DATE(2021,2,28),""YD"")" into cell A213.</t>
  </si>
  <si>
    <t>Put formula "=DATEDIF(DATE(2020,2,29),DATE(2021,3,1),""YD"")" into cell A214.</t>
  </si>
  <si>
    <t>Put formula "=DATEDIF(DATE(2019,3,1),DATE(2020,2,29),""YD"")" into cell A215.</t>
  </si>
  <si>
    <t>Put formula "=DATEDIF(DATE(2019,12,31),DATE(2020,1,1),""YD"")" into cell A216.</t>
  </si>
  <si>
    <t>Put formula "=DATEDIF(DATE(2020,3,31),DATE(2020,4,30),""MD"")" into cell A217.</t>
  </si>
  <si>
    <t>Put formula "=DATEDIF(DATE(2020,1,31),DATE(2020,3,30),""MD"")" into cell A218.</t>
  </si>
  <si>
    <t>Put formula "=DATEDIF(Data!A1,Data!A1,""D"")" into cell A219.</t>
  </si>
  <si>
    <t>Put formula "=DATEDIF(Data!A1,Data!A2,""D"")" into cell A220.</t>
  </si>
  <si>
    <t>Put formula "=DATEDIF(Data!A2,Data!A1,""W"")" into cell A221.</t>
  </si>
  <si>
    <t>Put formula "=DATEDIF(Data!A2,Data!A1+0.9,""D"")" into cell A222.</t>
  </si>
  <si>
    <t>Put formula "=DATEDIF(1,61,""D"")" into cell A223.</t>
  </si>
  <si>
    <t>Put formula "=DATEDIF(0,61,""M"")" into cell A224.</t>
  </si>
  <si>
    <t>Put formula "=YEARFRAC(DATE(2012,1,1),DATE(2012,7,30))" into cell A225.</t>
  </si>
  <si>
    <t>Put formula "=YEARFRAC(DATE(2012,1,1),DATE(2012,7,30),1)" into cell A226.</t>
  </si>
  <si>
    <t>Put formula "=YEARFRAC(DATE(2012,1,1),DATE(2012,7,30),2)" into cell A227.</t>
  </si>
  <si>
    <t>Put formula "=YEARFRAC(DATE(2012,1,1),DATE(2012,7,30),3)" into cell A228.</t>
  </si>
  <si>
    <t>Put formula "=YEARFRAC(DATE(2012,1,1),DATE(2012,7,30),4)" into cell A229.</t>
  </si>
  <si>
    <t>Put formula "=YEARFRAC(DATE(2012,7,30),DATE(2012,1,1),1)" into cell A230.</t>
  </si>
  <si>
    <t>Put formula "=YEARFRAC(DATE(2011,1,31),DATE(2011,2,28),0)" into cell A231.</t>
  </si>
  <si>
    <t>Put formula "=YEARFRAC(DATE(2011,2,28),DATE(2011,3,31),0)" into cell A232.</t>
  </si>
  <si>
    <t>Put formula "=YEARFRAC(DATE(2012,2,29),DATE(2013,2,28),0)" into cell A233.</t>
  </si>
  <si>
    <t>Put formula "=YEARFRAC(DATE(2011,1,30),DATE(2011,3,31),0)" into cell A234.</t>
  </si>
  <si>
    <t>Put formula "=YEARFRAC(DATE(2011,1,31),DATE(2011,3,31),4)" into cell A235.</t>
  </si>
  <si>
    <t>Put formula "=YEARFRAC(DATE(2011,2,28),DATE(2011,3,31),4)" into cell A236.</t>
  </si>
  <si>
    <t>Put formula "=YEARFRAC(DATE(2010,6,15),DATE(2013,2,1),1)" into cell A237.</t>
  </si>
  <si>
    <t>Put formula "=YEARFRAC(DATE(2011,3,1),DATE(2012,3,1),1)" into cell A238.</t>
  </si>
  <si>
    <t>Put formula "=YEARFRAC(DATE(2011,3,2),DATE(2012,3,1),1)" into cell A239.</t>
  </si>
  <si>
    <t>Put formula "=YEARFRAC(DATE(2012,2,29),DATE(2013,1,1),1)" into cell A240.</t>
  </si>
  <si>
    <t>Put formula "=YEARFRAC(DATE(2012,1,1),DATE(2013,1,1),1)" into cell A241.</t>
  </si>
  <si>
    <t>Put formula "=YEARFRAC(DATE(2011,6,1),DATE(2012,5,31),1)" into cell A242.</t>
  </si>
  <si>
    <t>Put formula "=YEARFRAC(DATE(2011,1,1),DATE(2011,12,31),1)" into cell A243.</t>
  </si>
  <si>
    <t>Put formula "=YEARFRAC(DATE(1900,1,1),DATE(1900,12,31),1)" into cell A244.</t>
  </si>
  <si>
    <t>Put formula "=YEARFRAC(DATE(1900,1,1),DATE(1901,1,1),1)" into cell A245.</t>
  </si>
  <si>
    <t>Put formula "=YEARFRAC(Data!A2,Data!A1,0)" into cell A246.</t>
  </si>
  <si>
    <t>Put formula "=YEARFRAC(Data!A2,Data!A1,1)" into cell A247.</t>
  </si>
  <si>
    <t>Put formula "=YEARFRAC(Data!A2,Data!A1,3)" into cell A248.</t>
  </si>
  <si>
    <t>Put formula "=YEARFRAC(Data!A1,Data!A1)" into cell A249.</t>
  </si>
  <si>
    <t>Put formula "=YEARFRAC(Data!A2,Data!A1,1.9)" into cell A250.</t>
  </si>
  <si>
    <t>Put formula "=YEARFRAC(Data!A2,Data!A1,-1)" into cell A251.</t>
  </si>
  <si>
    <t>Put formula "=YEARFRAC(Data!A2,Data!A1,5)" into cell A252.</t>
  </si>
  <si>
    <t>Put formula "=YEARFRAC(Data!A2,Data!A7)" into cell A253.</t>
  </si>
  <si>
    <t>Put formula "=WEEKNUM(Data!A1)" into cell A254.</t>
  </si>
  <si>
    <t>Put formula "=WEEKNUM(DATE(2026,1,3))" into cell A255.</t>
  </si>
  <si>
    <t>Put formula "=WEEKNUM(DATE(2026,1,4))" into cell A256.</t>
  </si>
  <si>
    <t>Put formula "=WEEKNUM(DATE(2026,1,4),2)" into cell A257.</t>
  </si>
  <si>
    <t>Put formula "=WEEKNUM(DATE(2026,1,5),2)" into cell A258.</t>
  </si>
  <si>
    <t>Put formula "=WEEKNUM(DATE(2026,12,31))" into cell A259.</t>
  </si>
  <si>
    <t>Put formula "=WEEKNUM(DATE(2026,12,31),2)" into cell A260.</t>
  </si>
  <si>
    <t>Put formula "=WEEKNUM(DATE(2026,1,8),11)" into cell A261.</t>
  </si>
  <si>
    <t>Put formula "=WEEKNUM(DATE(2026,1,8),12)" into cell A262.</t>
  </si>
  <si>
    <t>Put formula "=WEEKNUM(DATE(2026,1,8),13)" into cell A263.</t>
  </si>
  <si>
    <t>Put formula "=WEEKNUM(DATE(2026,1,8),14)" into cell A264.</t>
  </si>
  <si>
    <t>Put formula "=WEEKNUM(DATE(2026,1,8),15)" into cell A265.</t>
  </si>
  <si>
    <t>Put formula "=WEEKNUM(DATE(2026,1,8),16)" into cell A266.</t>
  </si>
  <si>
    <t>Put formula "=WEEKNUM(DATE(2026,1,8),17)" into cell A267.</t>
  </si>
  <si>
    <t>Put formula "=WEEKNUM(DATE(2026,1,1),21)" into cell A268.</t>
  </si>
  <si>
    <t>Put formula "=WEEKNUM(DATE(2027,1,1),21)" into cell A269.</t>
  </si>
  <si>
    <t>Put formula "=WEEKNUM(DATE(2024,12,30),21)" into cell A270.</t>
  </si>
  <si>
    <t>Put formula "=WEEKNUM(DATE(2021,1,3),21)" into cell A271.</t>
  </si>
  <si>
    <t>Put formula "=WEEKNUM(DATE(2020,12,31),21)" into cell A272.</t>
  </si>
  <si>
    <t>Put formula "=WEEKNUM(0)" into cell A273.</t>
  </si>
  <si>
    <t>Put formula "=WEEKNUM(1)" into cell A274.</t>
  </si>
  <si>
    <t>Put formula "=WEEKNUM(1,21)" into cell A275.</t>
  </si>
  <si>
    <t>Put formula "=WEEKNUM(60)" into cell A276.</t>
  </si>
  <si>
    <t>Put formula "=WEEKNUM(Data!A1,3)" into cell A277.</t>
  </si>
  <si>
    <t>Put formula "=WEEKNUM(Data!A1,1.9)" into cell A278.</t>
  </si>
  <si>
    <t>Put formula "=WEEKNUM(Data!A1,22)" into cell A279.</t>
  </si>
  <si>
    <t>Put formula "=Data!F1+1" into cell A280.</t>
  </si>
  <si>
    <t>Put formula "=Data!F2*2" into cell A281.</t>
  </si>
  <si>
    <t>Put formula "=Data!F3+1" into cell A282.</t>
  </si>
  <si>
    <t>Put formula "=Data!F4+1" into cell A283.</t>
  </si>
  <si>
    <t>Put formula "=Data!A8+1" into cell A284.</t>
  </si>
  <si>
    <t>Put formula "=Data!A7+0" into cell A285.</t>
  </si>
  <si>
    <t>Put formula "=-Data!F1" into cell A286.</t>
  </si>
  <si>
    <t>Put formula "=Data!F1%" into cell A287.</t>
  </si>
  <si>
    <t>Put formula "=""""&amp;Data!F1" into cell A288.</t>
  </si>
  <si>
    <t>Put formula "=Data!F1=1000" into cell A289.</t>
  </si>
  <si>
    <t>Put formula "=VALUE(Data!F1)" into cell A290.</t>
  </si>
  <si>
    <t>Put formula "=DATEVALUE(""1/1/2026"")" into cell A291.</t>
  </si>
  <si>
    <t>Put formula "=TIMEVALUE(""12:00"")" into cell A292.</t>
  </si>
  <si>
    <t>Put formula "=TODAY()-TODAY()" into cell A293.</t>
  </si>
  <si>
    <t>Put formula "=NOW()-NOW()" into cell A294.</t>
  </si>
  <si>
    <t>Put formula "=TEXT(DATE(2026,1,1),""dddd, mmmm d, yyyy"")" into cell A295.</t>
  </si>
  <si>
    <t>Put formula "=TEXT(TIME(18,5,9),""hh:mm:ss"")" into cell A296.</t>
  </si>
  <si>
    <t>Put formula "=TEXT(EOMONTH(Data!A2,0),""yyyy-mm-dd"")" into cell A297.</t>
  </si>
  <si>
    <t>Put formula "=DATE(-1,13,1)" into cell A298.</t>
  </si>
  <si>
    <t>Put formula "=DATE(1899,13,1)" into cell A299.</t>
  </si>
  <si>
    <t>Put formula "=YEAR(-0.000001)" into cell A300.</t>
  </si>
  <si>
    <t>Put formula "=HOUR(-0.000001)" into cell A301.</t>
  </si>
  <si>
    <t>Put formula "=WEEKDAY(45658.99999999)" into cell A302.</t>
  </si>
  <si>
    <t>Put formula "=EOMONTH(45688.99999999,0)" into cell A303.</t>
  </si>
  <si>
    <t>Put formula "=EDATE(45658.99999999,0)" into cell A304.</t>
  </si>
  <si>
    <t>Put formula "=DAYS(45658.99999999,45658)" into cell A305.</t>
  </si>
  <si>
    <t>Put formula "=NETWORKDAYS(45658.99999999,45659)" into cell A306.</t>
  </si>
  <si>
    <t>Put formula "=NETWORKDAYS(45659,45660,45658.99999999)" into cell A307.</t>
  </si>
  <si>
    <t>Put formula "=WORKDAY(45658.99999999,0)" into cell A308.</t>
  </si>
  <si>
    <t>Put formula "=DATEDIF(45658,45658.99999999,""D"")" into cell A309.</t>
  </si>
  <si>
    <t>Put formula "=YEARFRAC(45658,45658.99999999,3)" into cell A310.</t>
  </si>
  <si>
    <t>Put formula "=WEEKNUM(45661.99999999)" into cell A311.</t>
  </si>
  <si>
    <t>Put formula "=TEXT(45658.99999999,""d"")" into cell A312.</t>
  </si>
  <si>
    <t>Put formula "=TIME(1,-0.5,0)" into cell A313.</t>
  </si>
  <si>
    <t>Put formula "=TIME(-0.5,60,0)" into cell A314.</t>
  </si>
  <si>
    <t>Put formula "=EDATE(60,0)" into cell A315.</t>
  </si>
  <si>
    <t>Put formula "=DATEDIF(DATE(2020,2,29),DATE(2022,2,28),""YD"")" into cell A316.</t>
  </si>
  <si>
    <t>Put formula "=DATEDIF(DATE(2019,2,28),DATE(2020,2,29),""YD"")" into cell A317.</t>
  </si>
  <si>
    <t>Put formula "=DATEDIF(DATE(2020,2,29),DATE(2021,2,28),""MD"")" into cell A318.</t>
  </si>
  <si>
    <t>Put formula "=YEARFRAC(DATE(1900,2,28),DATE(1900,3,31),0)" into cell A319.</t>
  </si>
  <si>
    <t>Put formula "=YEARFRAC(60,DATE(1900,3,31),0)" into cell A320.</t>
  </si>
  <si>
    <t>Put formula "=YEARFRAC(DATE(1900,1,1),DATE(1902,1,2),1)" into cell A321.</t>
  </si>
  <si>
    <t>Put formula "=YEARFRAC(Data!A2,Data!A1,-0.5)" into cell A322.</t>
  </si>
  <si>
    <t>Put formula "=WEEKNUM(DATE(2021,1,3),0)" into cell A323.</t>
  </si>
  <si>
    <t>Put formula "=WEEKNUM(DATE(2021,1,3),4)" into cell A324.</t>
  </si>
  <si>
    <t>Put formula "=WEEKNUM(DATE(2021,1,3),10)" into cell A325.</t>
  </si>
  <si>
    <t>Put formula "=WEEKNUM(DATE(2021,1,3),18)" into cell A326.</t>
  </si>
  <si>
    <t>Put formula "=WEEKNUM(DATE(2021,1,3),20)" into cell A327.</t>
  </si>
  <si>
    <t>Put formula "=WEEKNUM(DATE(2021,1,3),28)" into cell A328.</t>
  </si>
  <si>
    <t>Put formula "=WEEKNUM(DATE(2021,1,3),30)" into cell A329.</t>
  </si>
  <si>
    <t>Put formula "=WEEKNUM(DATE(2021,1,3),150)" into cell A330.</t>
  </si>
  <si>
    <t>Put formula "=WEEKNUM(DATE(2021,1,1),22)" into cell A331.</t>
  </si>
  <si>
    <t>Put formula "=WEEKNUM(DATE(2021,1,3),22)" into cell A332.</t>
  </si>
  <si>
    <t>Put formula "=WEEKNUM(DATE(2022,1,1),22)" into cell A333.</t>
  </si>
  <si>
    <t>Put formula "=WEEKNUM(DATE(2021,1,1),23)" into cell A334.</t>
  </si>
  <si>
    <t>Put formula "=WEEKNUM(DATE(2021,1,3),23)" into cell A335.</t>
  </si>
  <si>
    <t>Put formula "=WEEKNUM(DATE(2022,1,1),23)" into cell A336.</t>
  </si>
  <si>
    <t>Put formula "=WEEKNUM(DATE(2021,1,1),24)" into cell A337.</t>
  </si>
  <si>
    <t>Put formula "=WEEKNUM(DATE(2021,1,3),24)" into cell A338.</t>
  </si>
  <si>
    <t>Put formula "=WEEKNUM(DATE(2022,1,1),24)" into cell A339.</t>
  </si>
  <si>
    <t>Put formula "=WEEKNUM(DATE(2021,1,1),25)" into cell A340.</t>
  </si>
  <si>
    <t>Put formula "=WEEKNUM(DATE(2021,1,3),25)" into cell A341.</t>
  </si>
  <si>
    <t>Put formula "=WEEKNUM(DATE(2022,1,1),25)" into cell A342.</t>
  </si>
  <si>
    <t>Put formula "=WEEKNUM(DATE(2021,1,1),26)" into cell A343.</t>
  </si>
  <si>
    <t>Put formula "=WEEKNUM(DATE(2021,1,3),26)" into cell A344.</t>
  </si>
  <si>
    <t>Put formula "=WEEKNUM(DATE(2022,1,1),26)" into cell A345.</t>
  </si>
  <si>
    <t>Put formula "=WEEKNUM(DATE(2021,1,1),27)" into cell A346.</t>
  </si>
  <si>
    <t>Put formula "=WEEKNUM(DATE(2021,1,3),27)" into cell A347.</t>
  </si>
  <si>
    <t>Put formula "=WEEKNUM(DATE(2022,1,1),27)" into cell A348.</t>
  </si>
  <si>
    <t>Put formula "=DATEDIF(DATE(2018,12,31),DATE(2019,1,1),""YD"")" into cell A349.</t>
  </si>
  <si>
    <t>Put formula "=DATEDIF(DATE(2001,6,1),DATE(2003,5,1),""YD"")" into cell A350.</t>
  </si>
  <si>
    <t>Put formula "=DATEDIF(DATE(2019,3,1),DATE(2021,2,28),""YD"")" into cell A351.</t>
  </si>
  <si>
    <t>Put formula "=DATEDIF(DATE(2020,2,29),DATE(2023,2,28),""YD"")" into cell A352.</t>
  </si>
  <si>
    <t>Put formula "=DATEDIF(DATE(2016,2,29),DATE(2018,1,15),""YD"")" into cell A353.</t>
  </si>
  <si>
    <t>Put formula "=DATEDIF(DATE(1988,6,22),DATE(2012,5,11),""YD"")" into cell A354.</t>
  </si>
  <si>
    <t>Put formula "=DATEDIF(DATE(2020,2,29),DATE(2023,3,1),""YD"")" into cell A355.</t>
  </si>
  <si>
    <t>Put formula "=DATE(10000,-11,1)" into cell A356.</t>
  </si>
  <si>
    <t>Put formula "=DATE(10000,-11,1)" into cell A357.</t>
  </si>
  <si>
    <t>Put formula "=WEEKNUM(Data!A1,22)" into cell A358.</t>
  </si>
  <si>
    <t>Put formula "=WEEKNUM(Data!A1,22)" into cell A359.</t>
  </si>
  <si>
    <t>Put formula "=DATEDIF(DATE(2019,1,31),DATE(2020,3,31),""YD"")" into cell A360.</t>
  </si>
  <si>
    <t>Put formula "=DATEDIF(DATE(2007,1,1),DATE(2008,3,1),""YD"")" into cell A361.</t>
  </si>
  <si>
    <t>Put formula "=DATEDIF(DATE(2019,6,1),DATE(2021,5,1),""YD"")" into cell A362.</t>
  </si>
  <si>
    <t>Put formula "=DATEDIF(DATE(2020,6,1),DATE(2024,5,1),""YD"")" into cell A363.</t>
  </si>
  <si>
    <t>Put formula "=DATEDIF(DATE(2019,1,15),DATE(2021,1,10),""YD"")" into cell A364.</t>
  </si>
  <si>
    <t>Work on sheet Calendar.</t>
  </si>
  <si>
    <t>Put formula "=DATE(1899+ROW(),1,1)" into range A1:A202.</t>
  </si>
  <si>
    <t>Put formula "=DAY(EOMONTH(A1,1))" into range B1:B202.</t>
  </si>
  <si>
    <t>Put formula "=WEEKDAY(A1)*100+WEEKNUM(A1,21)" into range C1:C202.</t>
  </si>
  <si>
    <t>Put formula "=YEAR(A1-1)*10000+MONTH(A1-1)*100+DAY(A1-1)" into range D1:D202.</t>
  </si>
  <si>
    <t>Put formula "=WEEKNUM(DATE(1899+ROW(),12,31),21)" into range E1:E202.</t>
  </si>
  <si>
    <t>1,000</t>
  </si>
  <si>
    <t>46028</t>
  </si>
  <si>
    <t>1/6/2026</t>
  </si>
  <si>
    <t>$5</t>
  </si>
  <si>
    <t>12abc</t>
  </si>
  <si>
    <t>5</t>
  </si>
  <si>
    <t>1/1/2026</t>
  </si>
  <si>
    <t>abc</t>
  </si>
  <si>
    <t>46023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</si>
</sst>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F4F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14"/>
  <sheetViews>
    <sheetView showGridLines="0" topLeftCell="B1" workbookViewId="0">
      <selection activeCell="B1" sqref="B1"/>
    </sheetView>
  </sheetViews>
  <sheetFormatPr defaultRowHeight="14.5" x14ac:dyDescent="0.35"/>
  <cols>
    <col min="1" max="1" width="0" hidden="1" customWidth="1"/>
    <col min="2" max="2" width="72.7265625" style="1" customWidth="1"/>
    <col min="3" max="3" width="60.7265625" style="2" customWidth="1"/>
  </cols>
  <sheetData>
    <row r="1" spans="2:3" x14ac:dyDescent="0.35">
      <c r="B1" s="1" t="s">
        <v>0</v>
      </c>
      <c r="C1" s="3" t="s">
        <v>1</v>
      </c>
    </row>
    <row r="2" spans="2:3" x14ac:dyDescent="0.35">
      <c r="B2" s="1" t="s">
        <v>2</v>
      </c>
      <c r="C2" s="3" t="s">
        <v>1</v>
      </c>
    </row>
    <row r="3" spans="2:3" x14ac:dyDescent="0.35">
      <c r="B3" s="1" t="s">
        <v>3</v>
      </c>
      <c r="C3" s="3" t="s">
        <v>1</v>
      </c>
    </row>
    <row r="4" spans="2:3" x14ac:dyDescent="0.35">
      <c r="B4" s="1" t="s">
        <v>4</v>
      </c>
      <c r="C4" s="3" t="s">
        <v>1</v>
      </c>
    </row>
    <row r="5" spans="2:3" x14ac:dyDescent="0.35">
      <c r="B5" s="1" t="s">
        <v>5</v>
      </c>
      <c r="C5" s="3" t="s">
        <v>1</v>
      </c>
    </row>
    <row r="6" spans="2:3" x14ac:dyDescent="0.35">
      <c r="B6" s="1" t="s">
        <v>6</v>
      </c>
      <c r="C6" s="3" t="s">
        <v>1</v>
      </c>
    </row>
    <row r="7" spans="2:3" x14ac:dyDescent="0.35">
      <c r="B7" s="1" t="s">
        <v>7</v>
      </c>
      <c r="C7" s="3" t="s">
        <v>1</v>
      </c>
    </row>
    <row r="8" spans="2:3" x14ac:dyDescent="0.35">
      <c r="B8" s="1" t="s">
        <v>8</v>
      </c>
      <c r="C8" s="3" t="s">
        <v>1</v>
      </c>
    </row>
    <row r="9" spans="2:3" x14ac:dyDescent="0.35">
      <c r="B9" s="1" t="s">
        <v>9</v>
      </c>
      <c r="C9" s="3" t="s">
        <v>1</v>
      </c>
    </row>
    <row r="10" spans="2:3" x14ac:dyDescent="0.35">
      <c r="B10" s="1" t="s">
        <v>10</v>
      </c>
      <c r="C10" s="3" t="s">
        <v>1</v>
      </c>
    </row>
    <row r="11" spans="2:3" x14ac:dyDescent="0.35">
      <c r="B11" s="1" t="s">
        <v>11</v>
      </c>
      <c r="C11" s="3" t="s">
        <v>1</v>
      </c>
    </row>
    <row r="12" spans="2:3" x14ac:dyDescent="0.35">
      <c r="B12" s="1" t="s">
        <v>12</v>
      </c>
      <c r="C12" s="3" t="s">
        <v>1</v>
      </c>
    </row>
    <row r="14" spans="2:3" x14ac:dyDescent="0.35">
      <c r="B14" s="1" t="s">
        <v>13</v>
      </c>
      <c r="C14" s="3" t="s">
        <v>1</v>
      </c>
    </row>
    <row r="15" spans="2:3" x14ac:dyDescent="0.35">
      <c r="B15" s="1" t="s">
        <v>14</v>
      </c>
      <c r="C15" s="3" t="s">
        <v>1</v>
      </c>
    </row>
    <row r="16" spans="2:3" x14ac:dyDescent="0.35">
      <c r="B16" s="1" t="s">
        <v>15</v>
      </c>
      <c r="C16" s="3" t="s">
        <v>1</v>
      </c>
    </row>
    <row r="17" spans="2:3" x14ac:dyDescent="0.35">
      <c r="B17" s="1" t="s">
        <v>16</v>
      </c>
      <c r="C17" s="3" t="s">
        <v>1</v>
      </c>
    </row>
    <row r="18" spans="2:3" x14ac:dyDescent="0.35">
      <c r="B18" s="1" t="s">
        <v>17</v>
      </c>
      <c r="C18" s="3" t="s">
        <v>1</v>
      </c>
    </row>
    <row r="19" spans="2:3" x14ac:dyDescent="0.35">
      <c r="B19" s="1" t="s">
        <v>18</v>
      </c>
      <c r="C19" s="3" t="s">
        <v>1</v>
      </c>
    </row>
    <row r="20" spans="2:3" x14ac:dyDescent="0.35">
      <c r="B20" s="1" t="s">
        <v>19</v>
      </c>
      <c r="C20" s="3" t="s">
        <v>1</v>
      </c>
    </row>
    <row r="21" spans="2:3" x14ac:dyDescent="0.35">
      <c r="B21" s="1" t="s">
        <v>20</v>
      </c>
      <c r="C21" s="3" t="s">
        <v>1</v>
      </c>
    </row>
    <row r="22" spans="2:3" x14ac:dyDescent="0.35">
      <c r="B22" s="1" t="s">
        <v>21</v>
      </c>
      <c r="C22" s="3" t="s">
        <v>1</v>
      </c>
    </row>
    <row r="23" spans="2:3" x14ac:dyDescent="0.35">
      <c r="B23" s="1" t="s">
        <v>22</v>
      </c>
      <c r="C23" s="3" t="s">
        <v>1</v>
      </c>
    </row>
    <row r="24" spans="2:3" x14ac:dyDescent="0.35">
      <c r="B24" s="1" t="s">
        <v>23</v>
      </c>
      <c r="C24" s="3" t="s">
        <v>1</v>
      </c>
    </row>
    <row r="25" spans="2:3" x14ac:dyDescent="0.35">
      <c r="B25" s="1" t="s">
        <v>24</v>
      </c>
      <c r="C25" s="3" t="s">
        <v>1</v>
      </c>
    </row>
    <row r="26" spans="2:3" x14ac:dyDescent="0.35">
      <c r="B26" s="1" t="s">
        <v>25</v>
      </c>
      <c r="C26" s="3" t="s">
        <v>1</v>
      </c>
    </row>
    <row r="27" spans="2:3" x14ac:dyDescent="0.35">
      <c r="B27" s="1" t="s">
        <v>26</v>
      </c>
      <c r="C27" s="3" t="s">
        <v>1</v>
      </c>
    </row>
    <row r="28" spans="2:3" x14ac:dyDescent="0.35">
      <c r="B28" s="1" t="s">
        <v>27</v>
      </c>
      <c r="C28" s="3" t="s">
        <v>1</v>
      </c>
    </row>
    <row r="29" spans="2:3" x14ac:dyDescent="0.35">
      <c r="B29" s="1" t="s">
        <v>28</v>
      </c>
      <c r="C29" s="3" t="s">
        <v>1</v>
      </c>
    </row>
    <row r="30" spans="2:3" x14ac:dyDescent="0.35">
      <c r="B30" s="1" t="s">
        <v>29</v>
      </c>
      <c r="C30" s="3" t="s">
        <v>1</v>
      </c>
    </row>
    <row r="31" spans="2:3" x14ac:dyDescent="0.35">
      <c r="B31" s="1" t="s">
        <v>30</v>
      </c>
      <c r="C31" s="3" t="s">
        <v>1</v>
      </c>
    </row>
    <row r="32" spans="2:3" x14ac:dyDescent="0.35">
      <c r="B32" s="1" t="s">
        <v>31</v>
      </c>
      <c r="C32" s="3" t="s">
        <v>1</v>
      </c>
    </row>
    <row r="33" spans="2:3" x14ac:dyDescent="0.35">
      <c r="B33" s="1" t="s">
        <v>32</v>
      </c>
      <c r="C33" s="3" t="s">
        <v>1</v>
      </c>
    </row>
    <row r="34" spans="2:3" x14ac:dyDescent="0.35">
      <c r="B34" s="1" t="s">
        <v>33</v>
      </c>
      <c r="C34" s="3" t="s">
        <v>1</v>
      </c>
    </row>
    <row r="35" spans="2:3" x14ac:dyDescent="0.35">
      <c r="B35" s="1" t="s">
        <v>34</v>
      </c>
      <c r="C35" s="3" t="s">
        <v>1</v>
      </c>
    </row>
    <row r="36" spans="2:3" x14ac:dyDescent="0.35">
      <c r="B36" s="1" t="s">
        <v>35</v>
      </c>
      <c r="C36" s="3" t="s">
        <v>1</v>
      </c>
    </row>
    <row r="37" spans="2:3" x14ac:dyDescent="0.35">
      <c r="B37" s="1" t="s">
        <v>36</v>
      </c>
      <c r="C37" s="3" t="s">
        <v>1</v>
      </c>
    </row>
    <row r="38" spans="2:3" x14ac:dyDescent="0.35">
      <c r="B38" s="1" t="s">
        <v>37</v>
      </c>
      <c r="C38" s="3" t="s">
        <v>1</v>
      </c>
    </row>
    <row r="39" spans="2:3" x14ac:dyDescent="0.35">
      <c r="B39" s="1" t="s">
        <v>38</v>
      </c>
      <c r="C39" s="3" t="s">
        <v>1</v>
      </c>
    </row>
    <row r="40" spans="2:3" x14ac:dyDescent="0.35">
      <c r="B40" s="1" t="s">
        <v>39</v>
      </c>
      <c r="C40" s="3" t="s">
        <v>1</v>
      </c>
    </row>
    <row r="41" spans="2:3" x14ac:dyDescent="0.35">
      <c r="B41" s="1" t="s">
        <v>40</v>
      </c>
      <c r="C41" s="3" t="s">
        <v>1</v>
      </c>
    </row>
    <row r="43" spans="2:3" x14ac:dyDescent="0.35">
      <c r="B43" s="1" t="s">
        <v>41</v>
      </c>
      <c r="C43" s="3" t="s">
        <v>1</v>
      </c>
    </row>
    <row r="44" spans="2:3" x14ac:dyDescent="0.35">
      <c r="B44" s="1" t="s">
        <v>42</v>
      </c>
      <c r="C44" s="3" t="s">
        <v>1</v>
      </c>
    </row>
    <row r="45" spans="2:3" x14ac:dyDescent="0.35">
      <c r="B45" s="1" t="s">
        <v>43</v>
      </c>
      <c r="C45" s="3" t="s">
        <v>1</v>
      </c>
    </row>
    <row r="46" spans="2:3" x14ac:dyDescent="0.35">
      <c r="B46" s="1" t="s">
        <v>44</v>
      </c>
      <c r="C46" s="3" t="s">
        <v>1</v>
      </c>
    </row>
    <row r="47" spans="2:3" x14ac:dyDescent="0.35">
      <c r="B47" s="1" t="s">
        <v>45</v>
      </c>
      <c r="C47" s="3" t="s">
        <v>1</v>
      </c>
    </row>
    <row r="48" spans="2:3" x14ac:dyDescent="0.35">
      <c r="B48" s="1" t="s">
        <v>46</v>
      </c>
      <c r="C48" s="3" t="s">
        <v>1</v>
      </c>
    </row>
    <row r="49" spans="2:3" x14ac:dyDescent="0.35">
      <c r="B49" s="1" t="s">
        <v>47</v>
      </c>
      <c r="C49" s="3" t="s">
        <v>1</v>
      </c>
    </row>
    <row r="50" spans="2:3" x14ac:dyDescent="0.35">
      <c r="B50" s="1" t="s">
        <v>48</v>
      </c>
      <c r="C50" s="3" t="s">
        <v>1</v>
      </c>
    </row>
    <row r="51" spans="2:3" x14ac:dyDescent="0.35">
      <c r="B51" s="1" t="s">
        <v>49</v>
      </c>
      <c r="C51" s="3" t="s">
        <v>1</v>
      </c>
    </row>
    <row r="52" spans="2:3" x14ac:dyDescent="0.35">
      <c r="B52" s="1" t="s">
        <v>50</v>
      </c>
      <c r="C52" s="3" t="s">
        <v>1</v>
      </c>
    </row>
    <row r="53" spans="2:3" x14ac:dyDescent="0.35">
      <c r="B53" s="1" t="s">
        <v>51</v>
      </c>
      <c r="C53" s="3" t="s">
        <v>1</v>
      </c>
    </row>
    <row r="54" spans="2:3" x14ac:dyDescent="0.35">
      <c r="B54" s="1" t="s">
        <v>52</v>
      </c>
      <c r="C54" s="3" t="s">
        <v>1</v>
      </c>
    </row>
    <row r="55" spans="2:3" x14ac:dyDescent="0.35">
      <c r="B55" s="1" t="s">
        <v>53</v>
      </c>
      <c r="C55" s="3" t="s">
        <v>1</v>
      </c>
    </row>
    <row r="56" spans="2:3" x14ac:dyDescent="0.35">
      <c r="B56" s="1" t="s">
        <v>54</v>
      </c>
      <c r="C56" s="3" t="s">
        <v>1</v>
      </c>
    </row>
    <row r="57" spans="2:3" x14ac:dyDescent="0.35">
      <c r="B57" s="1" t="s">
        <v>55</v>
      </c>
      <c r="C57" s="3" t="s">
        <v>1</v>
      </c>
    </row>
    <row r="58" spans="2:3" x14ac:dyDescent="0.35">
      <c r="B58" s="1" t="s">
        <v>56</v>
      </c>
      <c r="C58" s="3" t="s">
        <v>1</v>
      </c>
    </row>
    <row r="59" spans="2:3" x14ac:dyDescent="0.35">
      <c r="B59" s="1" t="s">
        <v>57</v>
      </c>
      <c r="C59" s="3" t="s">
        <v>1</v>
      </c>
    </row>
    <row r="60" spans="2:3" x14ac:dyDescent="0.35">
      <c r="B60" s="1" t="s">
        <v>58</v>
      </c>
      <c r="C60" s="3" t="s">
        <v>1</v>
      </c>
    </row>
    <row r="61" spans="2:3" x14ac:dyDescent="0.35">
      <c r="B61" s="1" t="s">
        <v>59</v>
      </c>
      <c r="C61" s="3" t="s">
        <v>1</v>
      </c>
    </row>
    <row r="62" spans="2:3" x14ac:dyDescent="0.35">
      <c r="B62" s="1" t="s">
        <v>60</v>
      </c>
      <c r="C62" s="3" t="s">
        <v>1</v>
      </c>
    </row>
    <row r="63" spans="2:3" x14ac:dyDescent="0.35">
      <c r="B63" s="1" t="s">
        <v>61</v>
      </c>
      <c r="C63" s="3" t="s">
        <v>1</v>
      </c>
    </row>
    <row r="64" spans="2:3" x14ac:dyDescent="0.35">
      <c r="B64" s="1" t="s">
        <v>62</v>
      </c>
      <c r="C64" s="3" t="s">
        <v>1</v>
      </c>
    </row>
    <row r="65" spans="2:3" x14ac:dyDescent="0.35">
      <c r="B65" s="1" t="s">
        <v>63</v>
      </c>
      <c r="C65" s="3" t="s">
        <v>1</v>
      </c>
    </row>
    <row r="66" spans="2:3" x14ac:dyDescent="0.35">
      <c r="B66" s="1" t="s">
        <v>64</v>
      </c>
      <c r="C66" s="3" t="s">
        <v>1</v>
      </c>
    </row>
    <row r="67" spans="2:3" x14ac:dyDescent="0.35">
      <c r="B67" s="1" t="s">
        <v>65</v>
      </c>
      <c r="C67" s="3" t="s">
        <v>1</v>
      </c>
    </row>
    <row r="68" spans="2:3" x14ac:dyDescent="0.35">
      <c r="B68" s="1" t="s">
        <v>66</v>
      </c>
      <c r="C68" s="3" t="s">
        <v>1</v>
      </c>
    </row>
    <row r="69" spans="2:3" x14ac:dyDescent="0.35">
      <c r="B69" s="1" t="s">
        <v>67</v>
      </c>
      <c r="C69" s="3" t="s">
        <v>1</v>
      </c>
    </row>
    <row r="70" spans="2:3" x14ac:dyDescent="0.35">
      <c r="B70" s="1" t="s">
        <v>68</v>
      </c>
      <c r="C70" s="3" t="s">
        <v>1</v>
      </c>
    </row>
    <row r="71" spans="2:3" x14ac:dyDescent="0.35">
      <c r="B71" s="1" t="s">
        <v>69</v>
      </c>
      <c r="C71" s="3" t="s">
        <v>1</v>
      </c>
    </row>
    <row r="72" spans="2:3" x14ac:dyDescent="0.35">
      <c r="B72" s="1" t="s">
        <v>70</v>
      </c>
      <c r="C72" s="3" t="s">
        <v>1</v>
      </c>
    </row>
    <row r="73" spans="2:3" x14ac:dyDescent="0.35">
      <c r="B73" s="1" t="s">
        <v>71</v>
      </c>
      <c r="C73" s="3" t="s">
        <v>1</v>
      </c>
    </row>
    <row r="74" spans="2:3" x14ac:dyDescent="0.35">
      <c r="B74" s="1" t="s">
        <v>72</v>
      </c>
      <c r="C74" s="3" t="s">
        <v>1</v>
      </c>
    </row>
    <row r="75" spans="2:3" x14ac:dyDescent="0.35">
      <c r="B75" s="1" t="s">
        <v>73</v>
      </c>
      <c r="C75" s="3" t="s">
        <v>1</v>
      </c>
    </row>
    <row r="76" spans="2:3" x14ac:dyDescent="0.35">
      <c r="B76" s="1" t="s">
        <v>74</v>
      </c>
      <c r="C76" s="3" t="s">
        <v>1</v>
      </c>
    </row>
    <row r="77" spans="2:3" x14ac:dyDescent="0.35">
      <c r="B77" s="1" t="s">
        <v>75</v>
      </c>
      <c r="C77" s="3" t="s">
        <v>1</v>
      </c>
    </row>
    <row r="78" spans="2:3" x14ac:dyDescent="0.35">
      <c r="B78" s="1" t="s">
        <v>76</v>
      </c>
      <c r="C78" s="3" t="s">
        <v>1</v>
      </c>
    </row>
    <row r="79" spans="2:3" x14ac:dyDescent="0.35">
      <c r="B79" s="1" t="s">
        <v>77</v>
      </c>
      <c r="C79" s="3" t="s">
        <v>1</v>
      </c>
    </row>
    <row r="80" spans="2:3" x14ac:dyDescent="0.35">
      <c r="B80" s="1" t="s">
        <v>78</v>
      </c>
      <c r="C80" s="3" t="s">
        <v>1</v>
      </c>
    </row>
    <row r="81" spans="2:3" x14ac:dyDescent="0.35">
      <c r="B81" s="1" t="s">
        <v>79</v>
      </c>
      <c r="C81" s="3" t="s">
        <v>1</v>
      </c>
    </row>
    <row r="82" spans="2:3" x14ac:dyDescent="0.35">
      <c r="B82" s="1" t="s">
        <v>80</v>
      </c>
      <c r="C82" s="3" t="s">
        <v>1</v>
      </c>
    </row>
    <row r="83" spans="2:3" x14ac:dyDescent="0.35">
      <c r="B83" s="1" t="s">
        <v>81</v>
      </c>
      <c r="C83" s="3" t="s">
        <v>1</v>
      </c>
    </row>
    <row r="84" spans="2:3" x14ac:dyDescent="0.35">
      <c r="B84" s="1" t="s">
        <v>82</v>
      </c>
      <c r="C84" s="3" t="s">
        <v>1</v>
      </c>
    </row>
    <row r="85" spans="2:3" x14ac:dyDescent="0.35">
      <c r="B85" s="1" t="s">
        <v>83</v>
      </c>
      <c r="C85" s="3" t="s">
        <v>1</v>
      </c>
    </row>
    <row r="86" spans="2:3" x14ac:dyDescent="0.35">
      <c r="B86" s="1" t="s">
        <v>84</v>
      </c>
      <c r="C86" s="3" t="s">
        <v>1</v>
      </c>
    </row>
    <row r="87" spans="2:3" x14ac:dyDescent="0.35">
      <c r="B87" s="1" t="s">
        <v>85</v>
      </c>
      <c r="C87" s="3" t="s">
        <v>1</v>
      </c>
    </row>
    <row r="88" spans="2:3" x14ac:dyDescent="0.35">
      <c r="B88" s="1" t="s">
        <v>86</v>
      </c>
      <c r="C88" s="3" t="s">
        <v>1</v>
      </c>
    </row>
    <row r="89" spans="2:3" x14ac:dyDescent="0.35">
      <c r="B89" s="1" t="s">
        <v>87</v>
      </c>
      <c r="C89" s="3" t="s">
        <v>1</v>
      </c>
    </row>
    <row r="90" spans="2:3" x14ac:dyDescent="0.35">
      <c r="B90" s="1" t="s">
        <v>88</v>
      </c>
      <c r="C90" s="3" t="s">
        <v>1</v>
      </c>
    </row>
    <row r="91" spans="2:3" x14ac:dyDescent="0.35">
      <c r="B91" s="1" t="s">
        <v>89</v>
      </c>
      <c r="C91" s="3" t="s">
        <v>1</v>
      </c>
    </row>
    <row r="92" spans="2:3" x14ac:dyDescent="0.35">
      <c r="B92" s="1" t="s">
        <v>90</v>
      </c>
      <c r="C92" s="3" t="s">
        <v>1</v>
      </c>
    </row>
    <row r="93" spans="2:3" x14ac:dyDescent="0.35">
      <c r="B93" s="1" t="s">
        <v>91</v>
      </c>
      <c r="C93" s="3" t="s">
        <v>1</v>
      </c>
    </row>
    <row r="94" spans="2:3" x14ac:dyDescent="0.35">
      <c r="B94" s="1" t="s">
        <v>92</v>
      </c>
      <c r="C94" s="3" t="s">
        <v>1</v>
      </c>
    </row>
    <row r="95" spans="2:3" x14ac:dyDescent="0.35">
      <c r="B95" s="1" t="s">
        <v>93</v>
      </c>
      <c r="C95" s="3" t="s">
        <v>1</v>
      </c>
    </row>
    <row r="96" spans="2:3" x14ac:dyDescent="0.35">
      <c r="B96" s="1" t="s">
        <v>94</v>
      </c>
      <c r="C96" s="3" t="s">
        <v>1</v>
      </c>
    </row>
    <row r="97" spans="2:3" x14ac:dyDescent="0.35">
      <c r="B97" s="1" t="s">
        <v>95</v>
      </c>
      <c r="C97" s="3" t="s">
        <v>1</v>
      </c>
    </row>
    <row r="98" spans="2:3" x14ac:dyDescent="0.35">
      <c r="B98" s="1" t="s">
        <v>96</v>
      </c>
      <c r="C98" s="3" t="s">
        <v>1</v>
      </c>
    </row>
    <row r="99" spans="2:3" x14ac:dyDescent="0.35">
      <c r="B99" s="1" t="s">
        <v>97</v>
      </c>
      <c r="C99" s="3" t="s">
        <v>1</v>
      </c>
    </row>
    <row r="100" spans="2:3" x14ac:dyDescent="0.35">
      <c r="B100" s="1" t="s">
        <v>98</v>
      </c>
      <c r="C100" s="3" t="s">
        <v>1</v>
      </c>
    </row>
    <row r="101" spans="2:3" x14ac:dyDescent="0.35">
      <c r="B101" s="1" t="s">
        <v>99</v>
      </c>
      <c r="C101" s="3" t="s">
        <v>1</v>
      </c>
    </row>
    <row r="102" spans="2:3" x14ac:dyDescent="0.35">
      <c r="B102" s="1" t="s">
        <v>100</v>
      </c>
      <c r="C102" s="3" t="s">
        <v>1</v>
      </c>
    </row>
    <row r="103" spans="2:3" x14ac:dyDescent="0.35">
      <c r="B103" s="1" t="s">
        <v>101</v>
      </c>
      <c r="C103" s="3" t="s">
        <v>1</v>
      </c>
    </row>
    <row r="104" spans="2:3" x14ac:dyDescent="0.35">
      <c r="B104" s="1" t="s">
        <v>102</v>
      </c>
      <c r="C104" s="3" t="s">
        <v>1</v>
      </c>
    </row>
    <row r="105" spans="2:3" x14ac:dyDescent="0.35">
      <c r="B105" s="1" t="s">
        <v>103</v>
      </c>
      <c r="C105" s="3" t="s">
        <v>1</v>
      </c>
    </row>
    <row r="106" spans="2:3" x14ac:dyDescent="0.35">
      <c r="B106" s="1" t="s">
        <v>104</v>
      </c>
      <c r="C106" s="3" t="s">
        <v>1</v>
      </c>
    </row>
    <row r="107" spans="2:3" x14ac:dyDescent="0.35">
      <c r="B107" s="1" t="s">
        <v>105</v>
      </c>
      <c r="C107" s="3" t="s">
        <v>1</v>
      </c>
    </row>
    <row r="108" spans="2:3" x14ac:dyDescent="0.35">
      <c r="B108" s="1" t="s">
        <v>106</v>
      </c>
      <c r="C108" s="3" t="s">
        <v>1</v>
      </c>
    </row>
    <row r="109" spans="2:3" x14ac:dyDescent="0.35">
      <c r="B109" s="1" t="s">
        <v>107</v>
      </c>
      <c r="C109" s="3" t="s">
        <v>1</v>
      </c>
    </row>
    <row r="110" spans="2:3" x14ac:dyDescent="0.35">
      <c r="B110" s="1" t="s">
        <v>108</v>
      </c>
      <c r="C110" s="3" t="s">
        <v>1</v>
      </c>
    </row>
    <row r="111" spans="2:3" x14ac:dyDescent="0.35">
      <c r="B111" s="1" t="s">
        <v>109</v>
      </c>
      <c r="C111" s="3" t="s">
        <v>1</v>
      </c>
    </row>
    <row r="112" spans="2:3" x14ac:dyDescent="0.35">
      <c r="B112" s="1" t="s">
        <v>110</v>
      </c>
      <c r="C112" s="3" t="s">
        <v>1</v>
      </c>
    </row>
    <row r="113" spans="2:3" x14ac:dyDescent="0.35">
      <c r="B113" s="1" t="s">
        <v>111</v>
      </c>
      <c r="C113" s="3" t="s">
        <v>1</v>
      </c>
    </row>
    <row r="114" spans="2:3" x14ac:dyDescent="0.35">
      <c r="B114" s="1" t="s">
        <v>112</v>
      </c>
      <c r="C114" s="3" t="s">
        <v>1</v>
      </c>
    </row>
    <row r="115" spans="2:3" x14ac:dyDescent="0.35">
      <c r="B115" s="1" t="s">
        <v>113</v>
      </c>
      <c r="C115" s="3" t="s">
        <v>1</v>
      </c>
    </row>
    <row r="116" spans="2:3" x14ac:dyDescent="0.35">
      <c r="B116" s="1" t="s">
        <v>114</v>
      </c>
      <c r="C116" s="3" t="s">
        <v>1</v>
      </c>
    </row>
    <row r="117" spans="2:3" x14ac:dyDescent="0.35">
      <c r="B117" s="1" t="s">
        <v>115</v>
      </c>
      <c r="C117" s="3" t="s">
        <v>1</v>
      </c>
    </row>
    <row r="118" spans="2:3" x14ac:dyDescent="0.35">
      <c r="B118" s="1" t="s">
        <v>116</v>
      </c>
      <c r="C118" s="3" t="s">
        <v>1</v>
      </c>
    </row>
    <row r="119" spans="2:3" x14ac:dyDescent="0.35">
      <c r="B119" s="1" t="s">
        <v>117</v>
      </c>
      <c r="C119" s="3" t="s">
        <v>1</v>
      </c>
    </row>
    <row r="120" spans="2:3" x14ac:dyDescent="0.35">
      <c r="B120" s="1" t="s">
        <v>118</v>
      </c>
      <c r="C120" s="3" t="s">
        <v>1</v>
      </c>
    </row>
    <row r="121" spans="2:3" x14ac:dyDescent="0.35">
      <c r="B121" s="1" t="s">
        <v>119</v>
      </c>
      <c r="C121" s="3" t="s">
        <v>1</v>
      </c>
    </row>
    <row r="122" spans="2:3" x14ac:dyDescent="0.35">
      <c r="B122" s="1" t="s">
        <v>120</v>
      </c>
      <c r="C122" s="3" t="s">
        <v>1</v>
      </c>
    </row>
    <row r="123" spans="2:3" x14ac:dyDescent="0.35">
      <c r="B123" s="1" t="s">
        <v>121</v>
      </c>
      <c r="C123" s="3" t="s">
        <v>1</v>
      </c>
    </row>
    <row r="124" spans="2:3" x14ac:dyDescent="0.35">
      <c r="B124" s="1" t="s">
        <v>122</v>
      </c>
      <c r="C124" s="3" t="s">
        <v>1</v>
      </c>
    </row>
    <row r="125" spans="2:3" x14ac:dyDescent="0.35">
      <c r="B125" s="1" t="s">
        <v>123</v>
      </c>
      <c r="C125" s="3" t="s">
        <v>1</v>
      </c>
    </row>
    <row r="126" spans="2:3" x14ac:dyDescent="0.35">
      <c r="B126" s="1" t="s">
        <v>124</v>
      </c>
      <c r="C126" s="3" t="s">
        <v>1</v>
      </c>
    </row>
    <row r="127" spans="2:3" x14ac:dyDescent="0.35">
      <c r="B127" s="1" t="s">
        <v>125</v>
      </c>
      <c r="C127" s="3" t="s">
        <v>1</v>
      </c>
    </row>
    <row r="128" spans="2:3" x14ac:dyDescent="0.35">
      <c r="B128" s="1" t="s">
        <v>126</v>
      </c>
      <c r="C128" s="3" t="s">
        <v>1</v>
      </c>
    </row>
    <row r="129" spans="2:3" x14ac:dyDescent="0.35">
      <c r="B129" s="1" t="s">
        <v>127</v>
      </c>
      <c r="C129" s="3" t="s">
        <v>1</v>
      </c>
    </row>
    <row r="130" spans="2:3" x14ac:dyDescent="0.35">
      <c r="B130" s="1" t="s">
        <v>128</v>
      </c>
      <c r="C130" s="3" t="s">
        <v>1</v>
      </c>
    </row>
    <row r="131" spans="2:3" x14ac:dyDescent="0.35">
      <c r="B131" s="1" t="s">
        <v>129</v>
      </c>
      <c r="C131" s="3" t="s">
        <v>1</v>
      </c>
    </row>
    <row r="132" spans="2:3" x14ac:dyDescent="0.35">
      <c r="B132" s="1" t="s">
        <v>130</v>
      </c>
      <c r="C132" s="3" t="s">
        <v>1</v>
      </c>
    </row>
    <row r="133" spans="2:3" x14ac:dyDescent="0.35">
      <c r="B133" s="1" t="s">
        <v>131</v>
      </c>
      <c r="C133" s="3" t="s">
        <v>1</v>
      </c>
    </row>
    <row r="134" spans="2:3" x14ac:dyDescent="0.35">
      <c r="B134" s="1" t="s">
        <v>132</v>
      </c>
      <c r="C134" s="3" t="s">
        <v>1</v>
      </c>
    </row>
    <row r="135" spans="2:3" x14ac:dyDescent="0.35">
      <c r="B135" s="1" t="s">
        <v>133</v>
      </c>
      <c r="C135" s="3" t="s">
        <v>1</v>
      </c>
    </row>
    <row r="136" spans="2:3" x14ac:dyDescent="0.35">
      <c r="B136" s="1" t="s">
        <v>134</v>
      </c>
      <c r="C136" s="3" t="s">
        <v>1</v>
      </c>
    </row>
    <row r="137" spans="2:3" x14ac:dyDescent="0.35">
      <c r="B137" s="1" t="s">
        <v>135</v>
      </c>
      <c r="C137" s="3" t="s">
        <v>1</v>
      </c>
    </row>
    <row r="138" spans="2:3" x14ac:dyDescent="0.35">
      <c r="B138" s="1" t="s">
        <v>136</v>
      </c>
      <c r="C138" s="3" t="s">
        <v>1</v>
      </c>
    </row>
    <row r="139" spans="2:3" x14ac:dyDescent="0.35">
      <c r="B139" s="1" t="s">
        <v>137</v>
      </c>
      <c r="C139" s="3" t="s">
        <v>1</v>
      </c>
    </row>
    <row r="140" spans="2:3" x14ac:dyDescent="0.35">
      <c r="B140" s="1" t="s">
        <v>138</v>
      </c>
      <c r="C140" s="3" t="s">
        <v>1</v>
      </c>
    </row>
    <row r="141" spans="2:3" x14ac:dyDescent="0.35">
      <c r="B141" s="1" t="s">
        <v>139</v>
      </c>
      <c r="C141" s="3" t="s">
        <v>1</v>
      </c>
    </row>
    <row r="142" spans="2:3" x14ac:dyDescent="0.35">
      <c r="B142" s="1" t="s">
        <v>140</v>
      </c>
      <c r="C142" s="3" t="s">
        <v>1</v>
      </c>
    </row>
    <row r="143" spans="2:3" x14ac:dyDescent="0.35">
      <c r="B143" s="1" t="s">
        <v>141</v>
      </c>
      <c r="C143" s="3" t="s">
        <v>1</v>
      </c>
    </row>
    <row r="144" spans="2:3" x14ac:dyDescent="0.35">
      <c r="B144" s="1" t="s">
        <v>142</v>
      </c>
      <c r="C144" s="3" t="s">
        <v>1</v>
      </c>
    </row>
    <row r="145" spans="2:3" x14ac:dyDescent="0.35">
      <c r="B145" s="1" t="s">
        <v>143</v>
      </c>
      <c r="C145" s="3" t="s">
        <v>1</v>
      </c>
    </row>
    <row r="146" spans="2:3" x14ac:dyDescent="0.35">
      <c r="B146" s="1" t="s">
        <v>144</v>
      </c>
      <c r="C146" s="3" t="s">
        <v>1</v>
      </c>
    </row>
    <row r="147" spans="2:3" x14ac:dyDescent="0.35">
      <c r="B147" s="1" t="s">
        <v>145</v>
      </c>
      <c r="C147" s="3" t="s">
        <v>1</v>
      </c>
    </row>
    <row r="148" spans="2:3" x14ac:dyDescent="0.35">
      <c r="B148" s="1" t="s">
        <v>146</v>
      </c>
      <c r="C148" s="3" t="s">
        <v>1</v>
      </c>
    </row>
    <row r="149" spans="2:3" x14ac:dyDescent="0.35">
      <c r="B149" s="1" t="s">
        <v>147</v>
      </c>
      <c r="C149" s="3" t="s">
        <v>1</v>
      </c>
    </row>
    <row r="150" spans="2:3" x14ac:dyDescent="0.35">
      <c r="B150" s="1" t="s">
        <v>148</v>
      </c>
      <c r="C150" s="3" t="s">
        <v>1</v>
      </c>
    </row>
    <row r="151" spans="2:3" x14ac:dyDescent="0.35">
      <c r="B151" s="1" t="s">
        <v>149</v>
      </c>
      <c r="C151" s="3" t="s">
        <v>1</v>
      </c>
    </row>
    <row r="152" spans="2:3" x14ac:dyDescent="0.35">
      <c r="B152" s="1" t="s">
        <v>150</v>
      </c>
      <c r="C152" s="3" t="s">
        <v>1</v>
      </c>
    </row>
    <row r="153" spans="2:3" x14ac:dyDescent="0.35">
      <c r="B153" s="1" t="s">
        <v>151</v>
      </c>
      <c r="C153" s="3" t="s">
        <v>1</v>
      </c>
    </row>
    <row r="154" spans="2:3" x14ac:dyDescent="0.35">
      <c r="B154" s="1" t="s">
        <v>152</v>
      </c>
      <c r="C154" s="3" t="s">
        <v>1</v>
      </c>
    </row>
    <row r="155" spans="2:3" x14ac:dyDescent="0.35">
      <c r="B155" s="1" t="s">
        <v>153</v>
      </c>
      <c r="C155" s="3" t="s">
        <v>1</v>
      </c>
    </row>
    <row r="156" spans="2:3" x14ac:dyDescent="0.35">
      <c r="B156" s="1" t="s">
        <v>154</v>
      </c>
      <c r="C156" s="3" t="s">
        <v>1</v>
      </c>
    </row>
    <row r="157" spans="2:3" x14ac:dyDescent="0.35">
      <c r="B157" s="1" t="s">
        <v>155</v>
      </c>
      <c r="C157" s="3" t="s">
        <v>1</v>
      </c>
    </row>
    <row r="158" spans="2:3" x14ac:dyDescent="0.35">
      <c r="B158" s="1" t="s">
        <v>156</v>
      </c>
      <c r="C158" s="3" t="s">
        <v>1</v>
      </c>
    </row>
    <row r="159" spans="2:3" x14ac:dyDescent="0.35">
      <c r="B159" s="1" t="s">
        <v>157</v>
      </c>
      <c r="C159" s="3" t="s">
        <v>1</v>
      </c>
    </row>
    <row r="160" spans="2:3" x14ac:dyDescent="0.35">
      <c r="B160" s="1" t="s">
        <v>158</v>
      </c>
      <c r="C160" s="3" t="s">
        <v>1</v>
      </c>
    </row>
    <row r="161" spans="2:3" x14ac:dyDescent="0.35">
      <c r="B161" s="1" t="s">
        <v>159</v>
      </c>
      <c r="C161" s="3" t="s">
        <v>1</v>
      </c>
    </row>
    <row r="162" spans="2:3" x14ac:dyDescent="0.35">
      <c r="B162" s="1" t="s">
        <v>160</v>
      </c>
      <c r="C162" s="3" t="s">
        <v>1</v>
      </c>
    </row>
    <row r="163" spans="2:3" x14ac:dyDescent="0.35">
      <c r="B163" s="1" t="s">
        <v>161</v>
      </c>
      <c r="C163" s="3" t="s">
        <v>1</v>
      </c>
    </row>
    <row r="164" spans="2:3" x14ac:dyDescent="0.35">
      <c r="B164" s="1" t="s">
        <v>162</v>
      </c>
      <c r="C164" s="3" t="s">
        <v>1</v>
      </c>
    </row>
    <row r="165" spans="2:3" x14ac:dyDescent="0.35">
      <c r="B165" s="1" t="s">
        <v>163</v>
      </c>
      <c r="C165" s="3" t="s">
        <v>1</v>
      </c>
    </row>
    <row r="166" spans="2:3" x14ac:dyDescent="0.35">
      <c r="B166" s="1" t="s">
        <v>164</v>
      </c>
      <c r="C166" s="3" t="s">
        <v>1</v>
      </c>
    </row>
    <row r="167" spans="2:3" x14ac:dyDescent="0.35">
      <c r="B167" s="1" t="s">
        <v>165</v>
      </c>
      <c r="C167" s="3" t="s">
        <v>1</v>
      </c>
    </row>
    <row r="168" spans="2:3" x14ac:dyDescent="0.35">
      <c r="B168" s="1" t="s">
        <v>166</v>
      </c>
      <c r="C168" s="3" t="s">
        <v>1</v>
      </c>
    </row>
    <row r="169" spans="2:3" x14ac:dyDescent="0.35">
      <c r="B169" s="1" t="s">
        <v>167</v>
      </c>
      <c r="C169" s="3" t="s">
        <v>1</v>
      </c>
    </row>
    <row r="170" spans="2:3" x14ac:dyDescent="0.35">
      <c r="B170" s="1" t="s">
        <v>168</v>
      </c>
      <c r="C170" s="3" t="s">
        <v>1</v>
      </c>
    </row>
    <row r="171" spans="2:3" x14ac:dyDescent="0.35">
      <c r="B171" s="1" t="s">
        <v>169</v>
      </c>
      <c r="C171" s="3" t="s">
        <v>1</v>
      </c>
    </row>
    <row r="172" spans="2:3" x14ac:dyDescent="0.35">
      <c r="B172" s="1" t="s">
        <v>170</v>
      </c>
      <c r="C172" s="3" t="s">
        <v>1</v>
      </c>
    </row>
    <row r="173" spans="2:3" x14ac:dyDescent="0.35">
      <c r="B173" s="1" t="s">
        <v>171</v>
      </c>
      <c r="C173" s="3" t="s">
        <v>1</v>
      </c>
    </row>
    <row r="174" spans="2:3" x14ac:dyDescent="0.35">
      <c r="B174" s="1" t="s">
        <v>172</v>
      </c>
      <c r="C174" s="3" t="s">
        <v>1</v>
      </c>
    </row>
    <row r="175" spans="2:3" x14ac:dyDescent="0.35">
      <c r="B175" s="1" t="s">
        <v>173</v>
      </c>
      <c r="C175" s="3" t="s">
        <v>1</v>
      </c>
    </row>
    <row r="176" spans="2:3" x14ac:dyDescent="0.35">
      <c r="B176" s="1" t="s">
        <v>174</v>
      </c>
      <c r="C176" s="3" t="s">
        <v>1</v>
      </c>
    </row>
    <row r="177" spans="2:3" x14ac:dyDescent="0.35">
      <c r="B177" s="1" t="s">
        <v>175</v>
      </c>
      <c r="C177" s="3" t="s">
        <v>1</v>
      </c>
    </row>
    <row r="178" spans="2:3" x14ac:dyDescent="0.35">
      <c r="B178" s="1" t="s">
        <v>176</v>
      </c>
      <c r="C178" s="3" t="s">
        <v>1</v>
      </c>
    </row>
    <row r="179" spans="2:3" x14ac:dyDescent="0.35">
      <c r="B179" s="1" t="s">
        <v>177</v>
      </c>
      <c r="C179" s="3" t="s">
        <v>1</v>
      </c>
    </row>
    <row r="180" spans="2:3" x14ac:dyDescent="0.35">
      <c r="B180" s="1" t="s">
        <v>178</v>
      </c>
      <c r="C180" s="3" t="s">
        <v>1</v>
      </c>
    </row>
    <row r="181" spans="2:3" x14ac:dyDescent="0.35">
      <c r="B181" s="1" t="s">
        <v>179</v>
      </c>
      <c r="C181" s="3" t="s">
        <v>1</v>
      </c>
    </row>
    <row r="182" spans="2:3" x14ac:dyDescent="0.35">
      <c r="B182" s="1" t="s">
        <v>180</v>
      </c>
      <c r="C182" s="3" t="s">
        <v>1</v>
      </c>
    </row>
    <row r="183" spans="2:3" x14ac:dyDescent="0.35">
      <c r="B183" s="1" t="s">
        <v>181</v>
      </c>
      <c r="C183" s="3" t="s">
        <v>1</v>
      </c>
    </row>
    <row r="184" spans="2:3" x14ac:dyDescent="0.35">
      <c r="B184" s="1" t="s">
        <v>182</v>
      </c>
      <c r="C184" s="3" t="s">
        <v>1</v>
      </c>
    </row>
    <row r="185" spans="2:3" x14ac:dyDescent="0.35">
      <c r="B185" s="1" t="s">
        <v>183</v>
      </c>
      <c r="C185" s="3" t="s">
        <v>1</v>
      </c>
    </row>
    <row r="186" spans="2:3" x14ac:dyDescent="0.35">
      <c r="B186" s="1" t="s">
        <v>184</v>
      </c>
      <c r="C186" s="3" t="s">
        <v>1</v>
      </c>
    </row>
    <row r="187" spans="2:3" x14ac:dyDescent="0.35">
      <c r="B187" s="1" t="s">
        <v>185</v>
      </c>
      <c r="C187" s="3" t="s">
        <v>1</v>
      </c>
    </row>
    <row r="188" spans="2:3" x14ac:dyDescent="0.35">
      <c r="B188" s="1" t="s">
        <v>186</v>
      </c>
      <c r="C188" s="3" t="s">
        <v>1</v>
      </c>
    </row>
    <row r="189" spans="2:3" x14ac:dyDescent="0.35">
      <c r="B189" s="1" t="s">
        <v>187</v>
      </c>
      <c r="C189" s="3" t="s">
        <v>1</v>
      </c>
    </row>
    <row r="190" spans="2:3" x14ac:dyDescent="0.35">
      <c r="B190" s="1" t="s">
        <v>188</v>
      </c>
      <c r="C190" s="3" t="s">
        <v>1</v>
      </c>
    </row>
    <row r="191" spans="2:3" x14ac:dyDescent="0.35">
      <c r="B191" s="1" t="s">
        <v>189</v>
      </c>
      <c r="C191" s="3" t="s">
        <v>1</v>
      </c>
    </row>
    <row r="192" spans="2:3" x14ac:dyDescent="0.35">
      <c r="B192" s="1" t="s">
        <v>190</v>
      </c>
      <c r="C192" s="3" t="s">
        <v>1</v>
      </c>
    </row>
    <row r="193" spans="2:3" x14ac:dyDescent="0.35">
      <c r="B193" s="1" t="s">
        <v>191</v>
      </c>
      <c r="C193" s="3" t="s">
        <v>1</v>
      </c>
    </row>
    <row r="194" spans="2:3" x14ac:dyDescent="0.35">
      <c r="B194" s="1" t="s">
        <v>192</v>
      </c>
      <c r="C194" s="3" t="s">
        <v>1</v>
      </c>
    </row>
    <row r="195" spans="2:3" x14ac:dyDescent="0.35">
      <c r="B195" s="1" t="s">
        <v>193</v>
      </c>
      <c r="C195" s="3" t="s">
        <v>1</v>
      </c>
    </row>
    <row r="196" spans="2:3" x14ac:dyDescent="0.35">
      <c r="B196" s="1" t="s">
        <v>194</v>
      </c>
      <c r="C196" s="3" t="s">
        <v>1</v>
      </c>
    </row>
    <row r="197" spans="2:3" x14ac:dyDescent="0.35">
      <c r="B197" s="1" t="s">
        <v>195</v>
      </c>
      <c r="C197" s="3" t="s">
        <v>1</v>
      </c>
    </row>
    <row r="198" spans="2:3" x14ac:dyDescent="0.35">
      <c r="B198" s="1" t="s">
        <v>196</v>
      </c>
      <c r="C198" s="3" t="s">
        <v>1</v>
      </c>
    </row>
    <row r="199" spans="2:3" x14ac:dyDescent="0.35">
      <c r="B199" s="1" t="s">
        <v>197</v>
      </c>
      <c r="C199" s="3" t="s">
        <v>1</v>
      </c>
    </row>
    <row r="200" spans="2:3" x14ac:dyDescent="0.35">
      <c r="B200" s="1" t="s">
        <v>198</v>
      </c>
      <c r="C200" s="3" t="s">
        <v>1</v>
      </c>
    </row>
    <row r="201" spans="2:3" x14ac:dyDescent="0.35">
      <c r="B201" s="1" t="s">
        <v>199</v>
      </c>
      <c r="C201" s="3" t="s">
        <v>1</v>
      </c>
    </row>
    <row r="202" spans="2:3" x14ac:dyDescent="0.35">
      <c r="B202" s="1" t="s">
        <v>200</v>
      </c>
      <c r="C202" s="3" t="s">
        <v>1</v>
      </c>
    </row>
    <row r="203" spans="2:3" x14ac:dyDescent="0.35">
      <c r="B203" s="1" t="s">
        <v>201</v>
      </c>
      <c r="C203" s="3" t="s">
        <v>1</v>
      </c>
    </row>
    <row r="204" spans="2:3" x14ac:dyDescent="0.35">
      <c r="B204" s="1" t="s">
        <v>202</v>
      </c>
      <c r="C204" s="3" t="s">
        <v>1</v>
      </c>
    </row>
    <row r="205" spans="2:3" x14ac:dyDescent="0.35">
      <c r="B205" s="1" t="s">
        <v>203</v>
      </c>
      <c r="C205" s="3" t="s">
        <v>1</v>
      </c>
    </row>
    <row r="206" spans="2:3" x14ac:dyDescent="0.35">
      <c r="B206" s="1" t="s">
        <v>204</v>
      </c>
      <c r="C206" s="3" t="s">
        <v>1</v>
      </c>
    </row>
    <row r="207" spans="2:3" x14ac:dyDescent="0.35">
      <c r="B207" s="1" t="s">
        <v>205</v>
      </c>
      <c r="C207" s="3" t="s">
        <v>1</v>
      </c>
    </row>
    <row r="208" spans="2:3" x14ac:dyDescent="0.35">
      <c r="B208" s="1" t="s">
        <v>206</v>
      </c>
      <c r="C208" s="3" t="s">
        <v>1</v>
      </c>
    </row>
    <row r="209" spans="2:3" x14ac:dyDescent="0.35">
      <c r="B209" s="1" t="s">
        <v>207</v>
      </c>
      <c r="C209" s="3" t="s">
        <v>1</v>
      </c>
    </row>
    <row r="210" spans="2:3" x14ac:dyDescent="0.35">
      <c r="B210" s="1" t="s">
        <v>208</v>
      </c>
      <c r="C210" s="3" t="s">
        <v>1</v>
      </c>
    </row>
    <row r="211" spans="2:3" x14ac:dyDescent="0.35">
      <c r="B211" s="1" t="s">
        <v>209</v>
      </c>
      <c r="C211" s="3" t="s">
        <v>1</v>
      </c>
    </row>
    <row r="212" spans="2:3" x14ac:dyDescent="0.35">
      <c r="B212" s="1" t="s">
        <v>210</v>
      </c>
      <c r="C212" s="3" t="s">
        <v>1</v>
      </c>
    </row>
    <row r="213" spans="2:3" x14ac:dyDescent="0.35">
      <c r="B213" s="1" t="s">
        <v>211</v>
      </c>
      <c r="C213" s="3" t="s">
        <v>1</v>
      </c>
    </row>
    <row r="214" spans="2:3" x14ac:dyDescent="0.35">
      <c r="B214" s="1" t="s">
        <v>212</v>
      </c>
      <c r="C214" s="3" t="s">
        <v>1</v>
      </c>
    </row>
    <row r="215" spans="2:3" x14ac:dyDescent="0.35">
      <c r="B215" s="1" t="s">
        <v>213</v>
      </c>
      <c r="C215" s="3" t="s">
        <v>1</v>
      </c>
    </row>
    <row r="216" spans="2:3" x14ac:dyDescent="0.35">
      <c r="B216" s="1" t="s">
        <v>214</v>
      </c>
      <c r="C216" s="3" t="s">
        <v>1</v>
      </c>
    </row>
    <row r="217" spans="2:3" x14ac:dyDescent="0.35">
      <c r="B217" s="1" t="s">
        <v>215</v>
      </c>
      <c r="C217" s="3" t="s">
        <v>1</v>
      </c>
    </row>
    <row r="218" spans="2:3" x14ac:dyDescent="0.35">
      <c r="B218" s="1" t="s">
        <v>216</v>
      </c>
      <c r="C218" s="3" t="s">
        <v>1</v>
      </c>
    </row>
    <row r="219" spans="2:3" x14ac:dyDescent="0.35">
      <c r="B219" s="1" t="s">
        <v>217</v>
      </c>
      <c r="C219" s="3" t="s">
        <v>1</v>
      </c>
    </row>
    <row r="220" spans="2:3" x14ac:dyDescent="0.35">
      <c r="B220" s="1" t="s">
        <v>218</v>
      </c>
      <c r="C220" s="3" t="s">
        <v>1</v>
      </c>
    </row>
    <row r="221" spans="2:3" x14ac:dyDescent="0.35">
      <c r="B221" s="1" t="s">
        <v>219</v>
      </c>
      <c r="C221" s="3" t="s">
        <v>1</v>
      </c>
    </row>
    <row r="222" spans="2:3" x14ac:dyDescent="0.35">
      <c r="B222" s="1" t="s">
        <v>220</v>
      </c>
      <c r="C222" s="3" t="s">
        <v>1</v>
      </c>
    </row>
    <row r="223" spans="2:3" x14ac:dyDescent="0.35">
      <c r="B223" s="1" t="s">
        <v>221</v>
      </c>
      <c r="C223" s="3" t="s">
        <v>1</v>
      </c>
    </row>
    <row r="224" spans="2:3" x14ac:dyDescent="0.35">
      <c r="B224" s="1" t="s">
        <v>222</v>
      </c>
      <c r="C224" s="3" t="s">
        <v>1</v>
      </c>
    </row>
    <row r="225" spans="2:3" x14ac:dyDescent="0.35">
      <c r="B225" s="1" t="s">
        <v>223</v>
      </c>
      <c r="C225" s="3" t="s">
        <v>1</v>
      </c>
    </row>
    <row r="226" spans="2:3" x14ac:dyDescent="0.35">
      <c r="B226" s="1" t="s">
        <v>224</v>
      </c>
      <c r="C226" s="3" t="s">
        <v>1</v>
      </c>
    </row>
    <row r="227" spans="2:3" x14ac:dyDescent="0.35">
      <c r="B227" s="1" t="s">
        <v>225</v>
      </c>
      <c r="C227" s="3" t="s">
        <v>1</v>
      </c>
    </row>
    <row r="228" spans="2:3" x14ac:dyDescent="0.35">
      <c r="B228" s="1" t="s">
        <v>226</v>
      </c>
      <c r="C228" s="3" t="s">
        <v>1</v>
      </c>
    </row>
    <row r="229" spans="2:3" x14ac:dyDescent="0.35">
      <c r="B229" s="1" t="s">
        <v>227</v>
      </c>
      <c r="C229" s="3" t="s">
        <v>1</v>
      </c>
    </row>
    <row r="230" spans="2:3" x14ac:dyDescent="0.35">
      <c r="B230" s="1" t="s">
        <v>228</v>
      </c>
      <c r="C230" s="3" t="s">
        <v>1</v>
      </c>
    </row>
    <row r="231" spans="2:3" x14ac:dyDescent="0.35">
      <c r="B231" s="1" t="s">
        <v>229</v>
      </c>
      <c r="C231" s="3" t="s">
        <v>1</v>
      </c>
    </row>
    <row r="232" spans="2:3" x14ac:dyDescent="0.35">
      <c r="B232" s="1" t="s">
        <v>230</v>
      </c>
      <c r="C232" s="3" t="s">
        <v>1</v>
      </c>
    </row>
    <row r="233" spans="2:3" x14ac:dyDescent="0.35">
      <c r="B233" s="1" t="s">
        <v>231</v>
      </c>
      <c r="C233" s="3" t="s">
        <v>1</v>
      </c>
    </row>
    <row r="234" spans="2:3" x14ac:dyDescent="0.35">
      <c r="B234" s="1" t="s">
        <v>232</v>
      </c>
      <c r="C234" s="3" t="s">
        <v>1</v>
      </c>
    </row>
    <row r="235" spans="2:3" x14ac:dyDescent="0.35">
      <c r="B235" s="1" t="s">
        <v>233</v>
      </c>
      <c r="C235" s="3" t="s">
        <v>1</v>
      </c>
    </row>
    <row r="236" spans="2:3" x14ac:dyDescent="0.35">
      <c r="B236" s="1" t="s">
        <v>234</v>
      </c>
      <c r="C236" s="3" t="s">
        <v>1</v>
      </c>
    </row>
    <row r="237" spans="2:3" x14ac:dyDescent="0.35">
      <c r="B237" s="1" t="s">
        <v>235</v>
      </c>
      <c r="C237" s="3" t="s">
        <v>1</v>
      </c>
    </row>
    <row r="238" spans="2:3" x14ac:dyDescent="0.35">
      <c r="B238" s="1" t="s">
        <v>236</v>
      </c>
      <c r="C238" s="3" t="s">
        <v>1</v>
      </c>
    </row>
    <row r="239" spans="2:3" x14ac:dyDescent="0.35">
      <c r="B239" s="1" t="s">
        <v>237</v>
      </c>
      <c r="C239" s="3" t="s">
        <v>1</v>
      </c>
    </row>
    <row r="240" spans="2:3" x14ac:dyDescent="0.35">
      <c r="B240" s="1" t="s">
        <v>238</v>
      </c>
      <c r="C240" s="3" t="s">
        <v>1</v>
      </c>
    </row>
    <row r="241" spans="2:3" x14ac:dyDescent="0.35">
      <c r="B241" s="1" t="s">
        <v>239</v>
      </c>
      <c r="C241" s="3" t="s">
        <v>1</v>
      </c>
    </row>
    <row r="242" spans="2:3" x14ac:dyDescent="0.35">
      <c r="B242" s="1" t="s">
        <v>240</v>
      </c>
      <c r="C242" s="3" t="s">
        <v>1</v>
      </c>
    </row>
    <row r="243" spans="2:3" x14ac:dyDescent="0.35">
      <c r="B243" s="1" t="s">
        <v>241</v>
      </c>
      <c r="C243" s="3" t="s">
        <v>1</v>
      </c>
    </row>
    <row r="244" spans="2:3" x14ac:dyDescent="0.35">
      <c r="B244" s="1" t="s">
        <v>242</v>
      </c>
      <c r="C244" s="3" t="s">
        <v>1</v>
      </c>
    </row>
    <row r="245" spans="2:3" x14ac:dyDescent="0.35">
      <c r="B245" s="1" t="s">
        <v>243</v>
      </c>
      <c r="C245" s="3" t="s">
        <v>1</v>
      </c>
    </row>
    <row r="246" spans="2:3" x14ac:dyDescent="0.35">
      <c r="B246" s="1" t="s">
        <v>244</v>
      </c>
      <c r="C246" s="3" t="s">
        <v>1</v>
      </c>
    </row>
    <row r="247" spans="2:3" x14ac:dyDescent="0.35">
      <c r="B247" s="1" t="s">
        <v>245</v>
      </c>
      <c r="C247" s="3" t="s">
        <v>1</v>
      </c>
    </row>
    <row r="248" spans="2:3" x14ac:dyDescent="0.35">
      <c r="B248" s="1" t="s">
        <v>246</v>
      </c>
      <c r="C248" s="3" t="s">
        <v>1</v>
      </c>
    </row>
    <row r="249" spans="2:3" x14ac:dyDescent="0.35">
      <c r="B249" s="1" t="s">
        <v>247</v>
      </c>
      <c r="C249" s="3" t="s">
        <v>1</v>
      </c>
    </row>
    <row r="250" spans="2:3" x14ac:dyDescent="0.35">
      <c r="B250" s="1" t="s">
        <v>248</v>
      </c>
      <c r="C250" s="3" t="s">
        <v>1</v>
      </c>
    </row>
    <row r="251" spans="2:3" x14ac:dyDescent="0.35">
      <c r="B251" s="1" t="s">
        <v>249</v>
      </c>
      <c r="C251" s="3" t="s">
        <v>1</v>
      </c>
    </row>
    <row r="252" spans="2:3" x14ac:dyDescent="0.35">
      <c r="B252" s="1" t="s">
        <v>250</v>
      </c>
      <c r="C252" s="3" t="s">
        <v>1</v>
      </c>
    </row>
    <row r="253" spans="2:3" x14ac:dyDescent="0.35">
      <c r="B253" s="1" t="s">
        <v>251</v>
      </c>
      <c r="C253" s="3" t="s">
        <v>1</v>
      </c>
    </row>
    <row r="254" spans="2:3" x14ac:dyDescent="0.35">
      <c r="B254" s="1" t="s">
        <v>252</v>
      </c>
      <c r="C254" s="3" t="s">
        <v>1</v>
      </c>
    </row>
    <row r="255" spans="2:3" x14ac:dyDescent="0.35">
      <c r="B255" s="1" t="s">
        <v>253</v>
      </c>
      <c r="C255" s="3" t="s">
        <v>1</v>
      </c>
    </row>
    <row r="256" spans="2:3" x14ac:dyDescent="0.35">
      <c r="B256" s="1" t="s">
        <v>254</v>
      </c>
      <c r="C256" s="3" t="s">
        <v>1</v>
      </c>
    </row>
    <row r="257" spans="2:3" x14ac:dyDescent="0.35">
      <c r="B257" s="1" t="s">
        <v>255</v>
      </c>
      <c r="C257" s="3" t="s">
        <v>1</v>
      </c>
    </row>
    <row r="258" spans="2:3" x14ac:dyDescent="0.35">
      <c r="B258" s="1" t="s">
        <v>256</v>
      </c>
      <c r="C258" s="3" t="s">
        <v>1</v>
      </c>
    </row>
    <row r="259" spans="2:3" x14ac:dyDescent="0.35">
      <c r="B259" s="1" t="s">
        <v>257</v>
      </c>
      <c r="C259" s="3" t="s">
        <v>1</v>
      </c>
    </row>
    <row r="260" spans="2:3" x14ac:dyDescent="0.35">
      <c r="B260" s="1" t="s">
        <v>258</v>
      </c>
      <c r="C260" s="3" t="s">
        <v>1</v>
      </c>
    </row>
    <row r="261" spans="2:3" x14ac:dyDescent="0.35">
      <c r="B261" s="1" t="s">
        <v>259</v>
      </c>
      <c r="C261" s="3" t="s">
        <v>1</v>
      </c>
    </row>
    <row r="262" spans="2:3" x14ac:dyDescent="0.35">
      <c r="B262" s="1" t="s">
        <v>260</v>
      </c>
      <c r="C262" s="3" t="s">
        <v>1</v>
      </c>
    </row>
    <row r="263" spans="2:3" x14ac:dyDescent="0.35">
      <c r="B263" s="1" t="s">
        <v>261</v>
      </c>
      <c r="C263" s="3" t="s">
        <v>1</v>
      </c>
    </row>
    <row r="264" spans="2:3" x14ac:dyDescent="0.35">
      <c r="B264" s="1" t="s">
        <v>262</v>
      </c>
      <c r="C264" s="3" t="s">
        <v>1</v>
      </c>
    </row>
    <row r="265" spans="2:3" x14ac:dyDescent="0.35">
      <c r="B265" s="1" t="s">
        <v>263</v>
      </c>
      <c r="C265" s="3" t="s">
        <v>1</v>
      </c>
    </row>
    <row r="266" spans="2:3" x14ac:dyDescent="0.35">
      <c r="B266" s="1" t="s">
        <v>264</v>
      </c>
      <c r="C266" s="3" t="s">
        <v>1</v>
      </c>
    </row>
    <row r="267" spans="2:3" x14ac:dyDescent="0.35">
      <c r="B267" s="1" t="s">
        <v>265</v>
      </c>
      <c r="C267" s="3" t="s">
        <v>1</v>
      </c>
    </row>
    <row r="268" spans="2:3" x14ac:dyDescent="0.35">
      <c r="B268" s="1" t="s">
        <v>266</v>
      </c>
      <c r="C268" s="3" t="s">
        <v>1</v>
      </c>
    </row>
    <row r="269" spans="2:3" x14ac:dyDescent="0.35">
      <c r="B269" s="1" t="s">
        <v>267</v>
      </c>
      <c r="C269" s="3" t="s">
        <v>1</v>
      </c>
    </row>
    <row r="270" spans="2:3" x14ac:dyDescent="0.35">
      <c r="B270" s="1" t="s">
        <v>268</v>
      </c>
      <c r="C270" s="3" t="s">
        <v>1</v>
      </c>
    </row>
    <row r="271" spans="2:3" x14ac:dyDescent="0.35">
      <c r="B271" s="1" t="s">
        <v>269</v>
      </c>
      <c r="C271" s="3" t="s">
        <v>1</v>
      </c>
    </row>
    <row r="272" spans="2:3" x14ac:dyDescent="0.35">
      <c r="B272" s="1" t="s">
        <v>270</v>
      </c>
      <c r="C272" s="3" t="s">
        <v>1</v>
      </c>
    </row>
    <row r="273" spans="2:3" x14ac:dyDescent="0.35">
      <c r="B273" s="1" t="s">
        <v>271</v>
      </c>
      <c r="C273" s="3" t="s">
        <v>1</v>
      </c>
    </row>
    <row r="274" spans="2:3" x14ac:dyDescent="0.35">
      <c r="B274" s="1" t="s">
        <v>272</v>
      </c>
      <c r="C274" s="3" t="s">
        <v>1</v>
      </c>
    </row>
    <row r="275" spans="2:3" x14ac:dyDescent="0.35">
      <c r="B275" s="1" t="s">
        <v>273</v>
      </c>
      <c r="C275" s="3" t="s">
        <v>1</v>
      </c>
    </row>
    <row r="276" spans="2:3" x14ac:dyDescent="0.35">
      <c r="B276" s="1" t="s">
        <v>274</v>
      </c>
      <c r="C276" s="3" t="s">
        <v>1</v>
      </c>
    </row>
    <row r="277" spans="2:3" x14ac:dyDescent="0.35">
      <c r="B277" s="1" t="s">
        <v>275</v>
      </c>
      <c r="C277" s="3" t="s">
        <v>1</v>
      </c>
    </row>
    <row r="278" spans="2:3" x14ac:dyDescent="0.35">
      <c r="B278" s="1" t="s">
        <v>276</v>
      </c>
      <c r="C278" s="3" t="s">
        <v>1</v>
      </c>
    </row>
    <row r="279" spans="2:3" x14ac:dyDescent="0.35">
      <c r="B279" s="1" t="s">
        <v>277</v>
      </c>
      <c r="C279" s="3" t="s">
        <v>1</v>
      </c>
    </row>
    <row r="280" spans="2:3" x14ac:dyDescent="0.35">
      <c r="B280" s="1" t="s">
        <v>278</v>
      </c>
      <c r="C280" s="3" t="s">
        <v>1</v>
      </c>
    </row>
    <row r="281" spans="2:3" x14ac:dyDescent="0.35">
      <c r="B281" s="1" t="s">
        <v>279</v>
      </c>
      <c r="C281" s="3" t="s">
        <v>1</v>
      </c>
    </row>
    <row r="282" spans="2:3" x14ac:dyDescent="0.35">
      <c r="B282" s="1" t="s">
        <v>280</v>
      </c>
      <c r="C282" s="3" t="s">
        <v>1</v>
      </c>
    </row>
    <row r="283" spans="2:3" x14ac:dyDescent="0.35">
      <c r="B283" s="1" t="s">
        <v>281</v>
      </c>
      <c r="C283" s="3" t="s">
        <v>1</v>
      </c>
    </row>
    <row r="284" spans="2:3" x14ac:dyDescent="0.35">
      <c r="B284" s="1" t="s">
        <v>282</v>
      </c>
      <c r="C284" s="3" t="s">
        <v>1</v>
      </c>
    </row>
    <row r="285" spans="2:3" x14ac:dyDescent="0.35">
      <c r="B285" s="1" t="s">
        <v>283</v>
      </c>
      <c r="C285" s="3" t="s">
        <v>1</v>
      </c>
    </row>
    <row r="286" spans="2:3" x14ac:dyDescent="0.35">
      <c r="B286" s="1" t="s">
        <v>284</v>
      </c>
      <c r="C286" s="3" t="s">
        <v>1</v>
      </c>
    </row>
    <row r="287" spans="2:3" x14ac:dyDescent="0.35">
      <c r="B287" s="1" t="s">
        <v>285</v>
      </c>
      <c r="C287" s="3" t="s">
        <v>1</v>
      </c>
    </row>
    <row r="288" spans="2:3" x14ac:dyDescent="0.35">
      <c r="B288" s="1" t="s">
        <v>286</v>
      </c>
      <c r="C288" s="3" t="s">
        <v>1</v>
      </c>
    </row>
    <row r="289" spans="2:3" x14ac:dyDescent="0.35">
      <c r="B289" s="1" t="s">
        <v>287</v>
      </c>
      <c r="C289" s="3" t="s">
        <v>1</v>
      </c>
    </row>
    <row r="290" spans="2:3" x14ac:dyDescent="0.35">
      <c r="B290" s="1" t="s">
        <v>288</v>
      </c>
      <c r="C290" s="3" t="s">
        <v>1</v>
      </c>
    </row>
    <row r="291" spans="2:3" x14ac:dyDescent="0.35">
      <c r="B291" s="1" t="s">
        <v>289</v>
      </c>
      <c r="C291" s="3" t="s">
        <v>1</v>
      </c>
    </row>
    <row r="292" spans="2:3" x14ac:dyDescent="0.35">
      <c r="B292" s="1" t="s">
        <v>290</v>
      </c>
      <c r="C292" s="3" t="s">
        <v>1</v>
      </c>
    </row>
    <row r="293" spans="2:3" x14ac:dyDescent="0.35">
      <c r="B293" s="1" t="s">
        <v>291</v>
      </c>
      <c r="C293" s="3" t="s">
        <v>1</v>
      </c>
    </row>
    <row r="294" spans="2:3" x14ac:dyDescent="0.35">
      <c r="B294" s="1" t="s">
        <v>292</v>
      </c>
      <c r="C294" s="3" t="s">
        <v>1</v>
      </c>
    </row>
    <row r="295" spans="2:3" x14ac:dyDescent="0.35">
      <c r="B295" s="1" t="s">
        <v>293</v>
      </c>
      <c r="C295" s="3" t="s">
        <v>1</v>
      </c>
    </row>
    <row r="296" spans="2:3" x14ac:dyDescent="0.35">
      <c r="B296" s="1" t="s">
        <v>294</v>
      </c>
      <c r="C296" s="3" t="s">
        <v>1</v>
      </c>
    </row>
    <row r="297" spans="2:3" x14ac:dyDescent="0.35">
      <c r="B297" s="1" t="s">
        <v>295</v>
      </c>
      <c r="C297" s="3" t="s">
        <v>1</v>
      </c>
    </row>
    <row r="298" spans="2:3" x14ac:dyDescent="0.35">
      <c r="B298" s="1" t="s">
        <v>296</v>
      </c>
      <c r="C298" s="3" t="s">
        <v>1</v>
      </c>
    </row>
    <row r="299" spans="2:3" x14ac:dyDescent="0.35">
      <c r="B299" s="1" t="s">
        <v>297</v>
      </c>
      <c r="C299" s="3" t="s">
        <v>1</v>
      </c>
    </row>
    <row r="300" spans="2:3" x14ac:dyDescent="0.35">
      <c r="B300" s="1" t="s">
        <v>298</v>
      </c>
      <c r="C300" s="3" t="s">
        <v>1</v>
      </c>
    </row>
    <row r="301" spans="2:3" x14ac:dyDescent="0.35">
      <c r="B301" s="1" t="s">
        <v>299</v>
      </c>
      <c r="C301" s="3" t="s">
        <v>1</v>
      </c>
    </row>
    <row r="302" spans="2:3" x14ac:dyDescent="0.35">
      <c r="B302" s="1" t="s">
        <v>300</v>
      </c>
      <c r="C302" s="3" t="s">
        <v>1</v>
      </c>
    </row>
    <row r="303" spans="2:3" x14ac:dyDescent="0.35">
      <c r="B303" s="1" t="s">
        <v>301</v>
      </c>
      <c r="C303" s="3" t="s">
        <v>1</v>
      </c>
    </row>
    <row r="304" spans="2:3" x14ac:dyDescent="0.35">
      <c r="B304" s="1" t="s">
        <v>302</v>
      </c>
      <c r="C304" s="3" t="s">
        <v>1</v>
      </c>
    </row>
    <row r="305" spans="2:3" x14ac:dyDescent="0.35">
      <c r="B305" s="1" t="s">
        <v>303</v>
      </c>
      <c r="C305" s="3" t="s">
        <v>1</v>
      </c>
    </row>
    <row r="306" spans="2:3" x14ac:dyDescent="0.35">
      <c r="B306" s="1" t="s">
        <v>304</v>
      </c>
      <c r="C306" s="3" t="s">
        <v>1</v>
      </c>
    </row>
    <row r="307" spans="2:3" x14ac:dyDescent="0.35">
      <c r="B307" s="1" t="s">
        <v>305</v>
      </c>
      <c r="C307" s="3" t="s">
        <v>1</v>
      </c>
    </row>
    <row r="308" spans="2:3" x14ac:dyDescent="0.35">
      <c r="B308" s="1" t="s">
        <v>306</v>
      </c>
      <c r="C308" s="3" t="s">
        <v>1</v>
      </c>
    </row>
    <row r="309" spans="2:3" x14ac:dyDescent="0.35">
      <c r="B309" s="1" t="s">
        <v>307</v>
      </c>
      <c r="C309" s="3" t="s">
        <v>1</v>
      </c>
    </row>
    <row r="310" spans="2:3" x14ac:dyDescent="0.35">
      <c r="B310" s="1" t="s">
        <v>308</v>
      </c>
      <c r="C310" s="3" t="s">
        <v>1</v>
      </c>
    </row>
    <row r="311" spans="2:3" x14ac:dyDescent="0.35">
      <c r="B311" s="1" t="s">
        <v>309</v>
      </c>
      <c r="C311" s="3" t="s">
        <v>1</v>
      </c>
    </row>
    <row r="312" spans="2:3" x14ac:dyDescent="0.35">
      <c r="B312" s="1" t="s">
        <v>310</v>
      </c>
      <c r="C312" s="3" t="s">
        <v>1</v>
      </c>
    </row>
    <row r="313" spans="2:3" x14ac:dyDescent="0.35">
      <c r="B313" s="1" t="s">
        <v>311</v>
      </c>
      <c r="C313" s="3" t="s">
        <v>1</v>
      </c>
    </row>
    <row r="314" spans="2:3" x14ac:dyDescent="0.35">
      <c r="B314" s="1" t="s">
        <v>312</v>
      </c>
      <c r="C314" s="3" t="s">
        <v>1</v>
      </c>
    </row>
    <row r="315" spans="2:3" x14ac:dyDescent="0.35">
      <c r="B315" s="1" t="s">
        <v>313</v>
      </c>
      <c r="C315" s="3" t="s">
        <v>1</v>
      </c>
    </row>
    <row r="316" spans="2:3" x14ac:dyDescent="0.35">
      <c r="B316" s="1" t="s">
        <v>314</v>
      </c>
      <c r="C316" s="3" t="s">
        <v>1</v>
      </c>
    </row>
    <row r="317" spans="2:3" x14ac:dyDescent="0.35">
      <c r="B317" s="1" t="s">
        <v>315</v>
      </c>
      <c r="C317" s="3" t="s">
        <v>1</v>
      </c>
    </row>
    <row r="318" spans="2:3" x14ac:dyDescent="0.35">
      <c r="B318" s="1" t="s">
        <v>316</v>
      </c>
      <c r="C318" s="3" t="s">
        <v>1</v>
      </c>
    </row>
    <row r="319" spans="2:3" x14ac:dyDescent="0.35">
      <c r="B319" s="1" t="s">
        <v>317</v>
      </c>
      <c r="C319" s="3" t="s">
        <v>1</v>
      </c>
    </row>
    <row r="320" spans="2:3" x14ac:dyDescent="0.35">
      <c r="B320" s="1" t="s">
        <v>318</v>
      </c>
      <c r="C320" s="3" t="s">
        <v>1</v>
      </c>
    </row>
    <row r="321" spans="2:3" x14ac:dyDescent="0.35">
      <c r="B321" s="1" t="s">
        <v>319</v>
      </c>
      <c r="C321" s="3" t="s">
        <v>1</v>
      </c>
    </row>
    <row r="322" spans="2:3" x14ac:dyDescent="0.35">
      <c r="B322" s="1" t="s">
        <v>320</v>
      </c>
      <c r="C322" s="3" t="s">
        <v>1</v>
      </c>
    </row>
    <row r="323" spans="2:3" x14ac:dyDescent="0.35">
      <c r="B323" s="1" t="s">
        <v>321</v>
      </c>
      <c r="C323" s="3" t="s">
        <v>1</v>
      </c>
    </row>
    <row r="324" spans="2:3" x14ac:dyDescent="0.35">
      <c r="B324" s="1" t="s">
        <v>322</v>
      </c>
      <c r="C324" s="3" t="s">
        <v>1</v>
      </c>
    </row>
    <row r="325" spans="2:3" x14ac:dyDescent="0.35">
      <c r="B325" s="1" t="s">
        <v>323</v>
      </c>
      <c r="C325" s="3" t="s">
        <v>1</v>
      </c>
    </row>
    <row r="326" spans="2:3" x14ac:dyDescent="0.35">
      <c r="B326" s="1" t="s">
        <v>324</v>
      </c>
      <c r="C326" s="3" t="s">
        <v>1</v>
      </c>
    </row>
    <row r="327" spans="2:3" x14ac:dyDescent="0.35">
      <c r="B327" s="1" t="s">
        <v>325</v>
      </c>
      <c r="C327" s="3" t="s">
        <v>1</v>
      </c>
    </row>
    <row r="328" spans="2:3" x14ac:dyDescent="0.35">
      <c r="B328" s="1" t="s">
        <v>326</v>
      </c>
      <c r="C328" s="3" t="s">
        <v>1</v>
      </c>
    </row>
    <row r="329" spans="2:3" x14ac:dyDescent="0.35">
      <c r="B329" s="1" t="s">
        <v>327</v>
      </c>
      <c r="C329" s="3" t="s">
        <v>1</v>
      </c>
    </row>
    <row r="330" spans="2:3" x14ac:dyDescent="0.35">
      <c r="B330" s="1" t="s">
        <v>328</v>
      </c>
      <c r="C330" s="3" t="s">
        <v>1</v>
      </c>
    </row>
    <row r="331" spans="2:3" x14ac:dyDescent="0.35">
      <c r="B331" s="1" t="s">
        <v>329</v>
      </c>
      <c r="C331" s="3" t="s">
        <v>1</v>
      </c>
    </row>
    <row r="332" spans="2:3" x14ac:dyDescent="0.35">
      <c r="B332" s="1" t="s">
        <v>330</v>
      </c>
      <c r="C332" s="3" t="s">
        <v>1</v>
      </c>
    </row>
    <row r="333" spans="2:3" x14ac:dyDescent="0.35">
      <c r="B333" s="1" t="s">
        <v>331</v>
      </c>
      <c r="C333" s="3" t="s">
        <v>1</v>
      </c>
    </row>
    <row r="334" spans="2:3" x14ac:dyDescent="0.35">
      <c r="B334" s="1" t="s">
        <v>332</v>
      </c>
      <c r="C334" s="3" t="s">
        <v>1</v>
      </c>
    </row>
    <row r="335" spans="2:3" x14ac:dyDescent="0.35">
      <c r="B335" s="1" t="s">
        <v>333</v>
      </c>
      <c r="C335" s="3" t="s">
        <v>1</v>
      </c>
    </row>
    <row r="336" spans="2:3" x14ac:dyDescent="0.35">
      <c r="B336" s="1" t="s">
        <v>334</v>
      </c>
      <c r="C336" s="3" t="s">
        <v>1</v>
      </c>
    </row>
    <row r="337" spans="2:3" x14ac:dyDescent="0.35">
      <c r="B337" s="1" t="s">
        <v>335</v>
      </c>
      <c r="C337" s="3" t="s">
        <v>1</v>
      </c>
    </row>
    <row r="338" spans="2:3" x14ac:dyDescent="0.35">
      <c r="B338" s="1" t="s">
        <v>336</v>
      </c>
      <c r="C338" s="3" t="s">
        <v>1</v>
      </c>
    </row>
    <row r="339" spans="2:3" x14ac:dyDescent="0.35">
      <c r="B339" s="1" t="s">
        <v>337</v>
      </c>
      <c r="C339" s="3" t="s">
        <v>1</v>
      </c>
    </row>
    <row r="340" spans="2:3" x14ac:dyDescent="0.35">
      <c r="B340" s="1" t="s">
        <v>338</v>
      </c>
      <c r="C340" s="3" t="s">
        <v>1</v>
      </c>
    </row>
    <row r="341" spans="2:3" x14ac:dyDescent="0.35">
      <c r="B341" s="1" t="s">
        <v>339</v>
      </c>
      <c r="C341" s="3" t="s">
        <v>1</v>
      </c>
    </row>
    <row r="342" spans="2:3" x14ac:dyDescent="0.35">
      <c r="B342" s="1" t="s">
        <v>340</v>
      </c>
      <c r="C342" s="3" t="s">
        <v>1</v>
      </c>
    </row>
    <row r="343" spans="2:3" x14ac:dyDescent="0.35">
      <c r="B343" s="1" t="s">
        <v>341</v>
      </c>
      <c r="C343" s="3" t="s">
        <v>1</v>
      </c>
    </row>
    <row r="344" spans="2:3" x14ac:dyDescent="0.35">
      <c r="B344" s="1" t="s">
        <v>342</v>
      </c>
      <c r="C344" s="3" t="s">
        <v>1</v>
      </c>
    </row>
    <row r="345" spans="2:3" x14ac:dyDescent="0.35">
      <c r="B345" s="1" t="s">
        <v>343</v>
      </c>
      <c r="C345" s="3" t="s">
        <v>1</v>
      </c>
    </row>
    <row r="346" spans="2:3" x14ac:dyDescent="0.35">
      <c r="B346" s="1" t="s">
        <v>344</v>
      </c>
      <c r="C346" s="3" t="s">
        <v>1</v>
      </c>
    </row>
    <row r="347" spans="2:3" x14ac:dyDescent="0.35">
      <c r="B347" s="1" t="s">
        <v>345</v>
      </c>
      <c r="C347" s="3" t="s">
        <v>1</v>
      </c>
    </row>
    <row r="348" spans="2:3" x14ac:dyDescent="0.35">
      <c r="B348" s="1" t="s">
        <v>346</v>
      </c>
      <c r="C348" s="3" t="s">
        <v>1</v>
      </c>
    </row>
    <row r="349" spans="2:3" x14ac:dyDescent="0.35">
      <c r="B349" s="1" t="s">
        <v>347</v>
      </c>
      <c r="C349" s="3" t="s">
        <v>1</v>
      </c>
    </row>
    <row r="350" spans="2:3" x14ac:dyDescent="0.35">
      <c r="B350" s="1" t="s">
        <v>348</v>
      </c>
      <c r="C350" s="3" t="s">
        <v>1</v>
      </c>
    </row>
    <row r="351" spans="2:3" x14ac:dyDescent="0.35">
      <c r="B351" s="1" t="s">
        <v>349</v>
      </c>
      <c r="C351" s="3" t="s">
        <v>1</v>
      </c>
    </row>
    <row r="352" spans="2:3" x14ac:dyDescent="0.35">
      <c r="B352" s="1" t="s">
        <v>350</v>
      </c>
      <c r="C352" s="3" t="s">
        <v>1</v>
      </c>
    </row>
    <row r="353" spans="2:3" x14ac:dyDescent="0.35">
      <c r="B353" s="1" t="s">
        <v>351</v>
      </c>
      <c r="C353" s="3" t="s">
        <v>1</v>
      </c>
    </row>
    <row r="354" spans="2:3" x14ac:dyDescent="0.35">
      <c r="B354" s="1" t="s">
        <v>352</v>
      </c>
      <c r="C354" s="3" t="s">
        <v>1</v>
      </c>
    </row>
    <row r="355" spans="2:3" x14ac:dyDescent="0.35">
      <c r="B355" s="1" t="s">
        <v>353</v>
      </c>
      <c r="C355" s="3" t="s">
        <v>1</v>
      </c>
    </row>
    <row r="356" spans="2:3" x14ac:dyDescent="0.35">
      <c r="B356" s="1" t="s">
        <v>354</v>
      </c>
      <c r="C356" s="3" t="s">
        <v>1</v>
      </c>
    </row>
    <row r="357" spans="2:3" x14ac:dyDescent="0.35">
      <c r="B357" s="1" t="s">
        <v>355</v>
      </c>
      <c r="C357" s="3" t="s">
        <v>1</v>
      </c>
    </row>
    <row r="358" spans="2:3" x14ac:dyDescent="0.35">
      <c r="B358" s="1" t="s">
        <v>356</v>
      </c>
      <c r="C358" s="3" t="s">
        <v>1</v>
      </c>
    </row>
    <row r="359" spans="2:3" x14ac:dyDescent="0.35">
      <c r="B359" s="1" t="s">
        <v>357</v>
      </c>
      <c r="C359" s="3" t="s">
        <v>1</v>
      </c>
    </row>
    <row r="360" spans="2:3" x14ac:dyDescent="0.35">
      <c r="B360" s="1" t="s">
        <v>358</v>
      </c>
      <c r="C360" s="3" t="s">
        <v>1</v>
      </c>
    </row>
    <row r="361" spans="2:3" x14ac:dyDescent="0.35">
      <c r="B361" s="1" t="s">
        <v>359</v>
      </c>
      <c r="C361" s="3" t="s">
        <v>1</v>
      </c>
    </row>
    <row r="362" spans="2:3" x14ac:dyDescent="0.35">
      <c r="B362" s="1" t="s">
        <v>360</v>
      </c>
      <c r="C362" s="3" t="s">
        <v>1</v>
      </c>
    </row>
    <row r="363" spans="2:3" x14ac:dyDescent="0.35">
      <c r="B363" s="1" t="s">
        <v>361</v>
      </c>
      <c r="C363" s="3" t="s">
        <v>1</v>
      </c>
    </row>
    <row r="364" spans="2:3" x14ac:dyDescent="0.35">
      <c r="B364" s="1" t="s">
        <v>362</v>
      </c>
      <c r="C364" s="3" t="s">
        <v>1</v>
      </c>
    </row>
    <row r="365" spans="2:3" x14ac:dyDescent="0.35">
      <c r="B365" s="1" t="s">
        <v>363</v>
      </c>
      <c r="C365" s="3" t="s">
        <v>1</v>
      </c>
    </row>
    <row r="366" spans="2:3" x14ac:dyDescent="0.35">
      <c r="B366" s="1" t="s">
        <v>364</v>
      </c>
      <c r="C366" s="3" t="s">
        <v>1</v>
      </c>
    </row>
    <row r="367" spans="2:3" x14ac:dyDescent="0.35">
      <c r="B367" s="1" t="s">
        <v>365</v>
      </c>
      <c r="C367" s="3" t="s">
        <v>1</v>
      </c>
    </row>
    <row r="368" spans="2:3" x14ac:dyDescent="0.35">
      <c r="B368" s="1" t="s">
        <v>366</v>
      </c>
      <c r="C368" s="3" t="s">
        <v>1</v>
      </c>
    </row>
    <row r="369" spans="2:3" x14ac:dyDescent="0.35">
      <c r="B369" s="1" t="s">
        <v>367</v>
      </c>
      <c r="C369" s="3" t="s">
        <v>1</v>
      </c>
    </row>
    <row r="370" spans="2:3" x14ac:dyDescent="0.35">
      <c r="B370" s="1" t="s">
        <v>368</v>
      </c>
      <c r="C370" s="3" t="s">
        <v>1</v>
      </c>
    </row>
    <row r="371" spans="2:3" x14ac:dyDescent="0.35">
      <c r="B371" s="1" t="s">
        <v>369</v>
      </c>
      <c r="C371" s="3" t="s">
        <v>1</v>
      </c>
    </row>
    <row r="372" spans="2:3" x14ac:dyDescent="0.35">
      <c r="B372" s="1" t="s">
        <v>370</v>
      </c>
      <c r="C372" s="3" t="s">
        <v>1</v>
      </c>
    </row>
    <row r="373" spans="2:3" x14ac:dyDescent="0.35">
      <c r="B373" s="1" t="s">
        <v>371</v>
      </c>
      <c r="C373" s="3" t="s">
        <v>1</v>
      </c>
    </row>
    <row r="374" spans="2:3" x14ac:dyDescent="0.35">
      <c r="B374" s="1" t="s">
        <v>372</v>
      </c>
      <c r="C374" s="3" t="s">
        <v>1</v>
      </c>
    </row>
    <row r="375" spans="2:3" x14ac:dyDescent="0.35">
      <c r="B375" s="1" t="s">
        <v>373</v>
      </c>
      <c r="C375" s="3" t="s">
        <v>1</v>
      </c>
    </row>
    <row r="376" spans="2:3" x14ac:dyDescent="0.35">
      <c r="B376" s="1" t="s">
        <v>374</v>
      </c>
      <c r="C376" s="3" t="s">
        <v>1</v>
      </c>
    </row>
    <row r="377" spans="2:3" x14ac:dyDescent="0.35">
      <c r="B377" s="1" t="s">
        <v>375</v>
      </c>
      <c r="C377" s="3" t="s">
        <v>1</v>
      </c>
    </row>
    <row r="378" spans="2:3" x14ac:dyDescent="0.35">
      <c r="B378" s="1" t="s">
        <v>376</v>
      </c>
      <c r="C378" s="3" t="s">
        <v>1</v>
      </c>
    </row>
    <row r="379" spans="2:3" x14ac:dyDescent="0.35">
      <c r="B379" s="1" t="s">
        <v>377</v>
      </c>
      <c r="C379" s="3" t="s">
        <v>1</v>
      </c>
    </row>
    <row r="380" spans="2:3" x14ac:dyDescent="0.35">
      <c r="B380" s="1" t="s">
        <v>378</v>
      </c>
      <c r="C380" s="3" t="s">
        <v>1</v>
      </c>
    </row>
    <row r="381" spans="2:3" x14ac:dyDescent="0.35">
      <c r="B381" s="1" t="s">
        <v>379</v>
      </c>
      <c r="C381" s="3" t="s">
        <v>1</v>
      </c>
    </row>
    <row r="382" spans="2:3" x14ac:dyDescent="0.35">
      <c r="B382" s="1" t="s">
        <v>380</v>
      </c>
      <c r="C382" s="3" t="s">
        <v>1</v>
      </c>
    </row>
    <row r="383" spans="2:3" x14ac:dyDescent="0.35">
      <c r="B383" s="1" t="s">
        <v>381</v>
      </c>
      <c r="C383" s="3" t="s">
        <v>1</v>
      </c>
    </row>
    <row r="384" spans="2:3" x14ac:dyDescent="0.35">
      <c r="B384" s="1" t="s">
        <v>382</v>
      </c>
      <c r="C384" s="3" t="s">
        <v>1</v>
      </c>
    </row>
    <row r="385" spans="2:3" x14ac:dyDescent="0.35">
      <c r="B385" s="1" t="s">
        <v>383</v>
      </c>
      <c r="C385" s="3" t="s">
        <v>1</v>
      </c>
    </row>
    <row r="386" spans="2:3" x14ac:dyDescent="0.35">
      <c r="B386" s="1" t="s">
        <v>384</v>
      </c>
      <c r="C386" s="3" t="s">
        <v>1</v>
      </c>
    </row>
    <row r="387" spans="2:3" x14ac:dyDescent="0.35">
      <c r="B387" s="1" t="s">
        <v>385</v>
      </c>
      <c r="C387" s="3" t="s">
        <v>1</v>
      </c>
    </row>
    <row r="388" spans="2:3" x14ac:dyDescent="0.35">
      <c r="B388" s="1" t="s">
        <v>386</v>
      </c>
      <c r="C388" s="3" t="s">
        <v>1</v>
      </c>
    </row>
    <row r="389" spans="2:3" x14ac:dyDescent="0.35">
      <c r="B389" s="1" t="s">
        <v>387</v>
      </c>
      <c r="C389" s="3" t="s">
        <v>1</v>
      </c>
    </row>
    <row r="390" spans="2:3" x14ac:dyDescent="0.35">
      <c r="B390" s="1" t="s">
        <v>388</v>
      </c>
      <c r="C390" s="3" t="s">
        <v>1</v>
      </c>
    </row>
    <row r="391" spans="2:3" x14ac:dyDescent="0.35">
      <c r="B391" s="1" t="s">
        <v>389</v>
      </c>
      <c r="C391" s="3" t="s">
        <v>1</v>
      </c>
    </row>
    <row r="392" spans="2:3" x14ac:dyDescent="0.35">
      <c r="B392" s="1" t="s">
        <v>390</v>
      </c>
      <c r="C392" s="3" t="s">
        <v>1</v>
      </c>
    </row>
    <row r="393" spans="2:3" x14ac:dyDescent="0.35">
      <c r="B393" s="1" t="s">
        <v>391</v>
      </c>
      <c r="C393" s="3" t="s">
        <v>1</v>
      </c>
    </row>
    <row r="394" spans="2:3" x14ac:dyDescent="0.35">
      <c r="B394" s="1" t="s">
        <v>392</v>
      </c>
      <c r="C394" s="3" t="s">
        <v>1</v>
      </c>
    </row>
    <row r="395" spans="2:3" x14ac:dyDescent="0.35">
      <c r="B395" s="1" t="s">
        <v>393</v>
      </c>
      <c r="C395" s="3" t="s">
        <v>1</v>
      </c>
    </row>
    <row r="396" spans="2:3" x14ac:dyDescent="0.35">
      <c r="B396" s="1" t="s">
        <v>394</v>
      </c>
      <c r="C396" s="3" t="s">
        <v>1</v>
      </c>
    </row>
    <row r="397" spans="2:3" x14ac:dyDescent="0.35">
      <c r="B397" s="1" t="s">
        <v>395</v>
      </c>
      <c r="C397" s="3" t="s">
        <v>1</v>
      </c>
    </row>
    <row r="398" spans="2:3" x14ac:dyDescent="0.35">
      <c r="B398" s="1" t="s">
        <v>396</v>
      </c>
      <c r="C398" s="3" t="s">
        <v>1</v>
      </c>
    </row>
    <row r="399" spans="2:3" x14ac:dyDescent="0.35">
      <c r="B399" s="1" t="s">
        <v>397</v>
      </c>
      <c r="C399" s="3" t="s">
        <v>1</v>
      </c>
    </row>
    <row r="400" spans="2:3" x14ac:dyDescent="0.35">
      <c r="B400" s="1" t="s">
        <v>398</v>
      </c>
      <c r="C400" s="3" t="s">
        <v>1</v>
      </c>
    </row>
    <row r="401" spans="2:3" x14ac:dyDescent="0.35">
      <c r="B401" s="1" t="s">
        <v>399</v>
      </c>
      <c r="C401" s="3" t="s">
        <v>1</v>
      </c>
    </row>
    <row r="402" spans="2:3" x14ac:dyDescent="0.35">
      <c r="B402" s="1" t="s">
        <v>400</v>
      </c>
      <c r="C402" s="3" t="s">
        <v>1</v>
      </c>
    </row>
    <row r="403" spans="2:3" x14ac:dyDescent="0.35">
      <c r="B403" s="1" t="s">
        <v>401</v>
      </c>
      <c r="C403" s="3" t="s">
        <v>1</v>
      </c>
    </row>
    <row r="404" spans="2:3" x14ac:dyDescent="0.35">
      <c r="B404" s="1" t="s">
        <v>402</v>
      </c>
      <c r="C404" s="3" t="s">
        <v>1</v>
      </c>
    </row>
    <row r="405" spans="2:3" x14ac:dyDescent="0.35">
      <c r="B405" s="1" t="s">
        <v>403</v>
      </c>
      <c r="C405" s="3" t="s">
        <v>1</v>
      </c>
    </row>
    <row r="406" spans="2:3" x14ac:dyDescent="0.35">
      <c r="B406" s="1" t="s">
        <v>404</v>
      </c>
      <c r="C406" s="3" t="s">
        <v>1</v>
      </c>
    </row>
    <row r="407" spans="2:3" x14ac:dyDescent="0.35">
      <c r="B407" s="1" t="s">
        <v>405</v>
      </c>
      <c r="C407" s="3" t="s">
        <v>1</v>
      </c>
    </row>
    <row r="409" spans="2:3" x14ac:dyDescent="0.35">
      <c r="B409" s="1" t="s">
        <v>406</v>
      </c>
      <c r="C409" s="3" t="s">
        <v>1</v>
      </c>
    </row>
    <row r="410" spans="2:3" x14ac:dyDescent="0.35">
      <c r="B410" s="1" t="s">
        <v>407</v>
      </c>
      <c r="C410" s="3" t="s">
        <v>1</v>
      </c>
    </row>
    <row r="411" spans="2:3" x14ac:dyDescent="0.35">
      <c r="B411" s="1" t="s">
        <v>408</v>
      </c>
      <c r="C411" s="3" t="s">
        <v>1</v>
      </c>
    </row>
    <row r="412" spans="2:3" x14ac:dyDescent="0.35">
      <c r="B412" s="1" t="s">
        <v>409</v>
      </c>
      <c r="C412" s="3" t="s">
        <v>1</v>
      </c>
    </row>
    <row r="413" spans="2:3" x14ac:dyDescent="0.35">
      <c r="B413" s="1" t="s">
        <v>410</v>
      </c>
      <c r="C413" s="3" t="s">
        <v>1</v>
      </c>
    </row>
    <row r="414" spans="2:3" x14ac:dyDescent="0.35">
      <c r="B414" s="1" t="s">
        <v>411</v>
      </c>
      <c r="C414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defaultRowHeight="14.5" x14ac:dyDescent="0.35"/>
  <sheetData>
    <row r="1" spans="1:6" x14ac:dyDescent="0.35">
      <c r="A1">
        <v>46023</v>
      </c>
      <c r="B1">
        <v>46027</v>
      </c>
      <c r="C1">
        <v>46027</v>
      </c>
      <c r="D1">
        <v>46027</v>
      </c>
      <c r="E1">
        <v>46027</v>
      </c>
      <c r="F1" t="s">
        <v>412</v>
      </c>
    </row>
    <row r="2" spans="1:6" x14ac:dyDescent="0.35">
      <c r="A2">
        <v>45351</v>
      </c>
      <c r="B2">
        <v>46028</v>
      </c>
      <c r="C2" t="s">
        <v>413</v>
      </c>
      <c r="D2" t="b">
        <f>TRUE</f>
        <v>1</v>
      </c>
      <c r="E2" t="s">
        <v>414</v>
      </c>
      <c r="F2" t="s">
        <v>415</v>
      </c>
    </row>
    <row r="3" spans="1:6" x14ac:dyDescent="0.35">
      <c r="A3">
        <v>60</v>
      </c>
      <c r="B3">
        <v>46027</v>
      </c>
      <c r="F3" t="s">
        <v>416</v>
      </c>
    </row>
    <row r="4" spans="1:6" x14ac:dyDescent="0.35">
      <c r="A4">
        <v>0</v>
      </c>
      <c r="B4">
        <v>46032</v>
      </c>
      <c r="F4" t="s">
        <v>417</v>
      </c>
    </row>
    <row r="5" spans="1:6" x14ac:dyDescent="0.35">
      <c r="A5">
        <v>46023.75</v>
      </c>
    </row>
    <row r="6" spans="1:6" x14ac:dyDescent="0.35">
      <c r="A6" t="b">
        <f>TRUE</f>
        <v>1</v>
      </c>
      <c r="B6">
        <v>46100</v>
      </c>
    </row>
    <row r="7" spans="1:6" x14ac:dyDescent="0.35">
      <c r="A7" t="s">
        <v>418</v>
      </c>
    </row>
    <row r="8" spans="1:6" x14ac:dyDescent="0.35">
      <c r="A8" t="s">
        <v>419</v>
      </c>
    </row>
    <row r="9" spans="1:6" x14ac:dyDescent="0.35">
      <c r="A9" t="e">
        <f>1/0</f>
        <v>#DIV/0!</v>
      </c>
    </row>
    <row r="10" spans="1:6" x14ac:dyDescent="0.35">
      <c r="A10" t="s">
        <v>420</v>
      </c>
    </row>
    <row r="11" spans="1:6" x14ac:dyDescent="0.35">
      <c r="A11">
        <v>2958465</v>
      </c>
    </row>
    <row r="12" spans="1:6" x14ac:dyDescent="0.35">
      <c r="A12">
        <v>45658.999999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64"/>
  <sheetViews>
    <sheetView tabSelected="1" workbookViewId="0">
      <selection activeCell="E22" sqref="E22"/>
    </sheetView>
  </sheetViews>
  <sheetFormatPr defaultRowHeight="14.5" x14ac:dyDescent="0.35"/>
  <sheetData>
    <row r="1" spans="1:1" x14ac:dyDescent="0.35">
      <c r="A1">
        <f>DATE(2026,1,1)</f>
        <v>46023</v>
      </c>
    </row>
    <row r="2" spans="1:1" x14ac:dyDescent="0.35">
      <c r="A2">
        <f>DATE(1900,1,1)</f>
        <v>1</v>
      </c>
    </row>
    <row r="3" spans="1:1" x14ac:dyDescent="0.35">
      <c r="A3">
        <f>DATE(1900,1,0)</f>
        <v>0</v>
      </c>
    </row>
    <row r="4" spans="1:1" x14ac:dyDescent="0.35">
      <c r="A4">
        <f>DATE(1900,2,28)</f>
        <v>59</v>
      </c>
    </row>
    <row r="5" spans="1:1" x14ac:dyDescent="0.35">
      <c r="A5">
        <f>DATE(1900,2,29)</f>
        <v>60</v>
      </c>
    </row>
    <row r="6" spans="1:1" x14ac:dyDescent="0.35">
      <c r="A6">
        <f>DATE(1900,2,30)</f>
        <v>61</v>
      </c>
    </row>
    <row r="7" spans="1:1" x14ac:dyDescent="0.35">
      <c r="A7">
        <f>DATE(1900,3,0)</f>
        <v>60</v>
      </c>
    </row>
    <row r="8" spans="1:1" x14ac:dyDescent="0.35">
      <c r="A8">
        <f>DATE(1900,3,1)</f>
        <v>61</v>
      </c>
    </row>
    <row r="9" spans="1:1" x14ac:dyDescent="0.35">
      <c r="A9" t="e">
        <f>DATE(1900,0,31)</f>
        <v>#NUM!</v>
      </c>
    </row>
    <row r="10" spans="1:1" x14ac:dyDescent="0.35">
      <c r="A10" t="e">
        <f>DATE(1900,1,-1)</f>
        <v>#NUM!</v>
      </c>
    </row>
    <row r="11" spans="1:1" x14ac:dyDescent="0.35">
      <c r="A11">
        <f>DATE(108,1,2)</f>
        <v>39449</v>
      </c>
    </row>
    <row r="12" spans="1:1" x14ac:dyDescent="0.35">
      <c r="A12">
        <f>DATE(1,1,1)</f>
        <v>367</v>
      </c>
    </row>
    <row r="13" spans="1:1" x14ac:dyDescent="0.35">
      <c r="A13">
        <f>DATE(1899,12,31)</f>
        <v>693962</v>
      </c>
    </row>
    <row r="14" spans="1:1" x14ac:dyDescent="0.35">
      <c r="A14">
        <f>DATE(2008,14,2)</f>
        <v>39846</v>
      </c>
    </row>
    <row r="15" spans="1:1" x14ac:dyDescent="0.35">
      <c r="A15">
        <f>DATE(2008,-3,2)</f>
        <v>39327</v>
      </c>
    </row>
    <row r="16" spans="1:1" x14ac:dyDescent="0.35">
      <c r="A16">
        <f>DATE(2008,1,35)</f>
        <v>39482</v>
      </c>
    </row>
    <row r="17" spans="1:1" x14ac:dyDescent="0.35">
      <c r="A17">
        <f>DATE(2008,1,-15)</f>
        <v>39432</v>
      </c>
    </row>
    <row r="18" spans="1:1" x14ac:dyDescent="0.35">
      <c r="A18" t="e">
        <f>DATE(-1,1,1)</f>
        <v>#NUM!</v>
      </c>
    </row>
    <row r="19" spans="1:1" x14ac:dyDescent="0.35">
      <c r="A19" t="e">
        <f>DATE(10000,1,1)</f>
        <v>#NUM!</v>
      </c>
    </row>
    <row r="20" spans="1:1" x14ac:dyDescent="0.35">
      <c r="A20" t="e">
        <f>DATE(10000,-11,1)</f>
        <v>#NUM!</v>
      </c>
    </row>
    <row r="21" spans="1:1" x14ac:dyDescent="0.35">
      <c r="A21">
        <f>DATE(9999,12,31)</f>
        <v>2958465</v>
      </c>
    </row>
    <row r="22" spans="1:1" x14ac:dyDescent="0.35">
      <c r="A22" t="e">
        <f>DATE(9999,12,32)</f>
        <v>#NUM!</v>
      </c>
    </row>
    <row r="23" spans="1:1" x14ac:dyDescent="0.35">
      <c r="A23" t="e">
        <f>DATE(9999,13,-31)</f>
        <v>#NUM!</v>
      </c>
    </row>
    <row r="24" spans="1:1" x14ac:dyDescent="0.35">
      <c r="A24">
        <f>DATE(2026.9,1.9,1.9)</f>
        <v>46023</v>
      </c>
    </row>
    <row r="25" spans="1:1" x14ac:dyDescent="0.35">
      <c r="A25">
        <f>DATE(2026,1,-0.5)</f>
        <v>46021</v>
      </c>
    </row>
    <row r="26" spans="1:1" x14ac:dyDescent="0.35">
      <c r="A26">
        <f>DATE(2026,-0.5,1)</f>
        <v>45962</v>
      </c>
    </row>
    <row r="27" spans="1:1" x14ac:dyDescent="0.35">
      <c r="A27" t="e">
        <f>DATE(-0.5,1,1)</f>
        <v>#NUM!</v>
      </c>
    </row>
    <row r="28" spans="1:1" x14ac:dyDescent="0.35">
      <c r="A28">
        <f>DATE(1899.9,1,1)</f>
        <v>693598</v>
      </c>
    </row>
    <row r="29" spans="1:1" x14ac:dyDescent="0.35">
      <c r="A29">
        <f>DATE("2026",1,1)</f>
        <v>46023</v>
      </c>
    </row>
    <row r="30" spans="1:1" x14ac:dyDescent="0.35">
      <c r="A30">
        <f>DATE(TRUE,1,1)</f>
        <v>367</v>
      </c>
    </row>
    <row r="31" spans="1:1" x14ac:dyDescent="0.35">
      <c r="A31" t="e">
        <f>DATE(data!A9,1,1)</f>
        <v>#DIV/0!</v>
      </c>
    </row>
    <row r="32" spans="1:1" x14ac:dyDescent="0.35">
      <c r="A32">
        <f>DATE(2026,1,data!F1)</f>
        <v>47022</v>
      </c>
    </row>
    <row r="33" spans="1:1" x14ac:dyDescent="0.35">
      <c r="A33">
        <f>YEAR(data!A1)</f>
        <v>2026</v>
      </c>
    </row>
    <row r="34" spans="1:1" x14ac:dyDescent="0.35">
      <c r="A34">
        <f>MONTH(data!A1)</f>
        <v>1</v>
      </c>
    </row>
    <row r="35" spans="1:1" x14ac:dyDescent="0.35">
      <c r="A35">
        <f>DAY(data!A1)</f>
        <v>1</v>
      </c>
    </row>
    <row r="36" spans="1:1" x14ac:dyDescent="0.35">
      <c r="A36">
        <f>YEAR(data!A2)</f>
        <v>2024</v>
      </c>
    </row>
    <row r="37" spans="1:1" x14ac:dyDescent="0.35">
      <c r="A37">
        <f>MONTH(data!A2)</f>
        <v>2</v>
      </c>
    </row>
    <row r="38" spans="1:1" x14ac:dyDescent="0.35">
      <c r="A38">
        <f>DAY(data!A2)</f>
        <v>29</v>
      </c>
    </row>
    <row r="39" spans="1:1" x14ac:dyDescent="0.35">
      <c r="A39">
        <f>YEAR(data!A3)</f>
        <v>1900</v>
      </c>
    </row>
    <row r="40" spans="1:1" x14ac:dyDescent="0.35">
      <c r="A40">
        <f>MONTH(data!A3)</f>
        <v>2</v>
      </c>
    </row>
    <row r="41" spans="1:1" x14ac:dyDescent="0.35">
      <c r="A41">
        <f>DAY(data!A3)</f>
        <v>29</v>
      </c>
    </row>
    <row r="42" spans="1:1" x14ac:dyDescent="0.35">
      <c r="A42">
        <f>YEAR(data!A4)</f>
        <v>1900</v>
      </c>
    </row>
    <row r="43" spans="1:1" x14ac:dyDescent="0.35">
      <c r="A43">
        <f>MONTH(data!A4)</f>
        <v>1</v>
      </c>
    </row>
    <row r="44" spans="1:1" x14ac:dyDescent="0.35">
      <c r="A44">
        <f>DAY(data!A4)</f>
        <v>0</v>
      </c>
    </row>
    <row r="45" spans="1:1" x14ac:dyDescent="0.35">
      <c r="A45">
        <f>DAY(59)</f>
        <v>28</v>
      </c>
    </row>
    <row r="46" spans="1:1" x14ac:dyDescent="0.35">
      <c r="A46">
        <f>DAY(61)</f>
        <v>1</v>
      </c>
    </row>
    <row r="47" spans="1:1" x14ac:dyDescent="0.35">
      <c r="A47">
        <f>DAY(data!A5)</f>
        <v>1</v>
      </c>
    </row>
    <row r="48" spans="1:1" x14ac:dyDescent="0.35">
      <c r="A48">
        <f>YEAR(data!A6)</f>
        <v>1900</v>
      </c>
    </row>
    <row r="49" spans="1:1" x14ac:dyDescent="0.35">
      <c r="A49">
        <f>YEAR(data!A7)</f>
        <v>2026</v>
      </c>
    </row>
    <row r="50" spans="1:1" x14ac:dyDescent="0.35">
      <c r="A50" t="e">
        <f>YEAR(data!A8)</f>
        <v>#VALUE!</v>
      </c>
    </row>
    <row r="51" spans="1:1" x14ac:dyDescent="0.35">
      <c r="A51" t="e">
        <f>YEAR(data!A9)</f>
        <v>#DIV/0!</v>
      </c>
    </row>
    <row r="52" spans="1:1" x14ac:dyDescent="0.35">
      <c r="A52">
        <f>YEAR(data!A10)</f>
        <v>2026</v>
      </c>
    </row>
    <row r="53" spans="1:1" x14ac:dyDescent="0.35">
      <c r="A53">
        <f>YEAR(data!A11)</f>
        <v>9999</v>
      </c>
    </row>
    <row r="54" spans="1:1" x14ac:dyDescent="0.35">
      <c r="A54">
        <f>MONTH(data!A11)</f>
        <v>12</v>
      </c>
    </row>
    <row r="55" spans="1:1" x14ac:dyDescent="0.35">
      <c r="A55">
        <f>DAY(data!A11)</f>
        <v>31</v>
      </c>
    </row>
    <row r="56" spans="1:1" x14ac:dyDescent="0.35">
      <c r="A56" t="e">
        <f>YEAR(2958465.9999999)</f>
        <v>#NUM!</v>
      </c>
    </row>
    <row r="57" spans="1:1" x14ac:dyDescent="0.35">
      <c r="A57" t="e">
        <f>YEAR(2958466)</f>
        <v>#NUM!</v>
      </c>
    </row>
    <row r="58" spans="1:1" x14ac:dyDescent="0.35">
      <c r="A58" t="e">
        <f>YEAR(-1)</f>
        <v>#NUM!</v>
      </c>
    </row>
    <row r="59" spans="1:1" x14ac:dyDescent="0.35">
      <c r="A59" t="e">
        <f>YEAR(-0.5)</f>
        <v>#NUM!</v>
      </c>
    </row>
    <row r="60" spans="1:1" x14ac:dyDescent="0.35">
      <c r="A60">
        <f>DAY(data!A12)</f>
        <v>2</v>
      </c>
    </row>
    <row r="61" spans="1:1" x14ac:dyDescent="0.35">
      <c r="A61">
        <f>DAY(45658.99999999)</f>
        <v>2</v>
      </c>
    </row>
    <row r="62" spans="1:1" x14ac:dyDescent="0.35">
      <c r="A62">
        <f>DAY(45658.9999999999)</f>
        <v>2</v>
      </c>
    </row>
    <row r="63" spans="1:1" x14ac:dyDescent="0.35">
      <c r="A63" t="e">
        <f>YEAR("")</f>
        <v>#VALUE!</v>
      </c>
    </row>
    <row r="64" spans="1:1" x14ac:dyDescent="0.35">
      <c r="A64">
        <f>MONTH(45658.5)</f>
        <v>1</v>
      </c>
    </row>
    <row r="65" spans="1:1" x14ac:dyDescent="0.35">
      <c r="A65">
        <f>DAY(data!B5)</f>
        <v>0</v>
      </c>
    </row>
    <row r="66" spans="1:1" x14ac:dyDescent="0.35">
      <c r="A66">
        <f>WEEKDAY(data!A1)</f>
        <v>5</v>
      </c>
    </row>
    <row r="67" spans="1:1" x14ac:dyDescent="0.35">
      <c r="A67">
        <f>WEEKDAY(data!A1,1)</f>
        <v>5</v>
      </c>
    </row>
    <row r="68" spans="1:1" x14ac:dyDescent="0.35">
      <c r="A68">
        <f>WEEKDAY(data!A1,2)</f>
        <v>4</v>
      </c>
    </row>
    <row r="69" spans="1:1" x14ac:dyDescent="0.35">
      <c r="A69">
        <f>WEEKDAY(data!A1,3)</f>
        <v>3</v>
      </c>
    </row>
    <row r="70" spans="1:1" x14ac:dyDescent="0.35">
      <c r="A70">
        <f>WEEKDAY(data!A1,11)</f>
        <v>4</v>
      </c>
    </row>
    <row r="71" spans="1:1" x14ac:dyDescent="0.35">
      <c r="A71">
        <f>WEEKDAY(data!A1,12)</f>
        <v>3</v>
      </c>
    </row>
    <row r="72" spans="1:1" x14ac:dyDescent="0.35">
      <c r="A72">
        <f>WEEKDAY(data!A1,13)</f>
        <v>2</v>
      </c>
    </row>
    <row r="73" spans="1:1" x14ac:dyDescent="0.35">
      <c r="A73">
        <f>WEEKDAY(data!A1,14)</f>
        <v>1</v>
      </c>
    </row>
    <row r="74" spans="1:1" x14ac:dyDescent="0.35">
      <c r="A74">
        <f>WEEKDAY(data!A1,15)</f>
        <v>7</v>
      </c>
    </row>
    <row r="75" spans="1:1" x14ac:dyDescent="0.35">
      <c r="A75">
        <f>WEEKDAY(data!A1,16)</f>
        <v>6</v>
      </c>
    </row>
    <row r="76" spans="1:1" x14ac:dyDescent="0.35">
      <c r="A76">
        <f>WEEKDAY(data!A1,17)</f>
        <v>5</v>
      </c>
    </row>
    <row r="77" spans="1:1" x14ac:dyDescent="0.35">
      <c r="A77">
        <f>WEEKDAY(data!A1,1.9)</f>
        <v>5</v>
      </c>
    </row>
    <row r="78" spans="1:1" x14ac:dyDescent="0.35">
      <c r="A78" t="e">
        <f>WEEKDAY(data!A1,0)</f>
        <v>#NUM!</v>
      </c>
    </row>
    <row r="79" spans="1:1" x14ac:dyDescent="0.35">
      <c r="A79" t="e">
        <f>WEEKDAY(data!A1,4)</f>
        <v>#NUM!</v>
      </c>
    </row>
    <row r="80" spans="1:1" x14ac:dyDescent="0.35">
      <c r="A80" t="e">
        <f>WEEKDAY(data!A1,18)</f>
        <v>#NUM!</v>
      </c>
    </row>
    <row r="81" spans="1:1" x14ac:dyDescent="0.35">
      <c r="A81">
        <f>WEEKDAY(0)</f>
        <v>7</v>
      </c>
    </row>
    <row r="82" spans="1:1" x14ac:dyDescent="0.35">
      <c r="A82">
        <f>WEEKDAY(1)</f>
        <v>1</v>
      </c>
    </row>
    <row r="83" spans="1:1" x14ac:dyDescent="0.35">
      <c r="A83">
        <f>WEEKDAY(59)</f>
        <v>3</v>
      </c>
    </row>
    <row r="84" spans="1:1" x14ac:dyDescent="0.35">
      <c r="A84">
        <f>WEEKDAY(60)</f>
        <v>4</v>
      </c>
    </row>
    <row r="85" spans="1:1" x14ac:dyDescent="0.35">
      <c r="A85">
        <f>WEEKDAY(61)</f>
        <v>5</v>
      </c>
    </row>
    <row r="86" spans="1:1" x14ac:dyDescent="0.35">
      <c r="A86">
        <f>WEEKDAY(0,2)</f>
        <v>6</v>
      </c>
    </row>
    <row r="87" spans="1:1" x14ac:dyDescent="0.35">
      <c r="A87">
        <f>WEEKDAY(0,3)</f>
        <v>5</v>
      </c>
    </row>
    <row r="88" spans="1:1" x14ac:dyDescent="0.35">
      <c r="A88" t="e">
        <f>WEEKDAY(-1)</f>
        <v>#NUM!</v>
      </c>
    </row>
    <row r="89" spans="1:1" x14ac:dyDescent="0.35">
      <c r="A89">
        <f>WEEKDAY(data!A7)</f>
        <v>5</v>
      </c>
    </row>
    <row r="90" spans="1:1" x14ac:dyDescent="0.35">
      <c r="A90">
        <f>EOMONTH(data!A1,0)</f>
        <v>46053</v>
      </c>
    </row>
    <row r="91" spans="1:1" x14ac:dyDescent="0.35">
      <c r="A91">
        <f>EOMONTH(data!A1,1)</f>
        <v>46081</v>
      </c>
    </row>
    <row r="92" spans="1:1" x14ac:dyDescent="0.35">
      <c r="A92">
        <f>EOMONTH(data!A2,-1)</f>
        <v>45322</v>
      </c>
    </row>
    <row r="93" spans="1:1" x14ac:dyDescent="0.35">
      <c r="A93">
        <f>EOMONTH(data!A2,12)</f>
        <v>45716</v>
      </c>
    </row>
    <row r="94" spans="1:1" x14ac:dyDescent="0.35">
      <c r="A94">
        <f>EOMONTH(data!A1,1.9)</f>
        <v>46081</v>
      </c>
    </row>
    <row r="95" spans="1:1" x14ac:dyDescent="0.35">
      <c r="A95">
        <f>EOMONTH(data!A1,-1.9)</f>
        <v>46022</v>
      </c>
    </row>
    <row r="96" spans="1:1" x14ac:dyDescent="0.35">
      <c r="A96">
        <f>EOMONTH(DATE(1900,1,15),1)</f>
        <v>59</v>
      </c>
    </row>
    <row r="97" spans="1:1" x14ac:dyDescent="0.35">
      <c r="A97" t="e">
        <f>EOMONTH(1,-1)</f>
        <v>#NUM!</v>
      </c>
    </row>
    <row r="98" spans="1:1" x14ac:dyDescent="0.35">
      <c r="A98">
        <f>EOMONTH(0,0)</f>
        <v>31</v>
      </c>
    </row>
    <row r="99" spans="1:1" x14ac:dyDescent="0.35">
      <c r="A99">
        <f>EOMONTH(60,0)</f>
        <v>59</v>
      </c>
    </row>
    <row r="100" spans="1:1" x14ac:dyDescent="0.35">
      <c r="A100">
        <f>EOMONTH(DATE(9999,12,1),0)</f>
        <v>2958465</v>
      </c>
    </row>
    <row r="101" spans="1:1" x14ac:dyDescent="0.35">
      <c r="A101" t="e">
        <f>EOMONTH(DATE(9999,12,1),1)</f>
        <v>#NUM!</v>
      </c>
    </row>
    <row r="102" spans="1:1" x14ac:dyDescent="0.35">
      <c r="A102">
        <f>EOMONTH(data!A1,"1")</f>
        <v>46081</v>
      </c>
    </row>
    <row r="103" spans="1:1" x14ac:dyDescent="0.35">
      <c r="A103">
        <f>EOMONTH(data!A7,0)</f>
        <v>46053</v>
      </c>
    </row>
    <row r="104" spans="1:1" x14ac:dyDescent="0.35">
      <c r="A104">
        <f>EDATE(DATE(2011,1,31),1)</f>
        <v>40602</v>
      </c>
    </row>
    <row r="105" spans="1:1" x14ac:dyDescent="0.35">
      <c r="A105">
        <f>EDATE(data!A2,12)</f>
        <v>45716</v>
      </c>
    </row>
    <row r="106" spans="1:1" x14ac:dyDescent="0.35">
      <c r="A106">
        <f>EDATE(data!A2,-12)</f>
        <v>44985</v>
      </c>
    </row>
    <row r="107" spans="1:1" x14ac:dyDescent="0.35">
      <c r="A107">
        <f>EDATE(data!A2,48)</f>
        <v>46812</v>
      </c>
    </row>
    <row r="108" spans="1:1" x14ac:dyDescent="0.35">
      <c r="A108">
        <f>EDATE(data!A1,-1.9)</f>
        <v>45992</v>
      </c>
    </row>
    <row r="109" spans="1:1" x14ac:dyDescent="0.35">
      <c r="A109">
        <f>EDATE(data!A1,1.9)</f>
        <v>46054</v>
      </c>
    </row>
    <row r="110" spans="1:1" x14ac:dyDescent="0.35">
      <c r="A110">
        <f>EDATE(DATE(1900,1,31),1)</f>
        <v>59</v>
      </c>
    </row>
    <row r="111" spans="1:1" x14ac:dyDescent="0.35">
      <c r="A111">
        <f>EDATE(DATE(1900,3,31),-1)</f>
        <v>59</v>
      </c>
    </row>
    <row r="112" spans="1:1" x14ac:dyDescent="0.35">
      <c r="A112" t="e">
        <f>EDATE(31,-1)</f>
        <v>#NUM!</v>
      </c>
    </row>
    <row r="113" spans="1:1" x14ac:dyDescent="0.35">
      <c r="A113">
        <f>EDATE(0,0)</f>
        <v>0</v>
      </c>
    </row>
    <row r="114" spans="1:1" x14ac:dyDescent="0.35">
      <c r="A114">
        <f>EDATE(0,1)</f>
        <v>31</v>
      </c>
    </row>
    <row r="115" spans="1:1" x14ac:dyDescent="0.35">
      <c r="A115">
        <f>EDATE(60,12)</f>
        <v>425</v>
      </c>
    </row>
    <row r="116" spans="1:1" x14ac:dyDescent="0.35">
      <c r="A116">
        <f>EDATE(data!A5,1)</f>
        <v>46054</v>
      </c>
    </row>
    <row r="117" spans="1:1" x14ac:dyDescent="0.35">
      <c r="A117">
        <f>_xlfn.DAYS(data!A1,data!A2)</f>
        <v>672</v>
      </c>
    </row>
    <row r="118" spans="1:1" x14ac:dyDescent="0.35">
      <c r="A118">
        <f>_xlfn.DAYS(data!A2,data!A1)</f>
        <v>-672</v>
      </c>
    </row>
    <row r="119" spans="1:1" x14ac:dyDescent="0.35">
      <c r="A119">
        <f>_xlfn.DAYS(data!A5,data!A1)</f>
        <v>0</v>
      </c>
    </row>
    <row r="120" spans="1:1" x14ac:dyDescent="0.35">
      <c r="A120">
        <f>_xlfn.DAYS(2.1,1.9)</f>
        <v>1</v>
      </c>
    </row>
    <row r="121" spans="1:1" x14ac:dyDescent="0.35">
      <c r="A121">
        <f>_xlfn.DAYS(1.9,2.1)</f>
        <v>-1</v>
      </c>
    </row>
    <row r="122" spans="1:1" x14ac:dyDescent="0.35">
      <c r="A122">
        <f>_xlfn.DAYS(data!A1,data!A7)</f>
        <v>0</v>
      </c>
    </row>
    <row r="123" spans="1:1" x14ac:dyDescent="0.35">
      <c r="A123" t="e">
        <f>_xlfn.DAYS(-1,1)</f>
        <v>#NUM!</v>
      </c>
    </row>
    <row r="124" spans="1:1" x14ac:dyDescent="0.35">
      <c r="A124">
        <f>_xlfn.DAYS(data!A11,0)</f>
        <v>2958465</v>
      </c>
    </row>
    <row r="125" spans="1:1" x14ac:dyDescent="0.35">
      <c r="A125">
        <f>NETWORKDAYS(data!A1,data!A1+13)</f>
        <v>10</v>
      </c>
    </row>
    <row r="126" spans="1:1" x14ac:dyDescent="0.35">
      <c r="A126">
        <f>NETWORKDAYS(data!A1,data!A1+13,data!B1:B6)</f>
        <v>8</v>
      </c>
    </row>
    <row r="127" spans="1:1" x14ac:dyDescent="0.35">
      <c r="A127">
        <f>NETWORKDAYS(data!A1+13,data!A1,data!B1:B6)</f>
        <v>-8</v>
      </c>
    </row>
    <row r="128" spans="1:1" x14ac:dyDescent="0.35">
      <c r="A128">
        <f>NETWORKDAYS(data!A1+2,data!A1+3)</f>
        <v>0</v>
      </c>
    </row>
    <row r="129" spans="1:1" x14ac:dyDescent="0.35">
      <c r="A129">
        <f>NETWORKDAYS(data!A1,data!A1)</f>
        <v>1</v>
      </c>
    </row>
    <row r="130" spans="1:1" x14ac:dyDescent="0.35">
      <c r="A130">
        <f>NETWORKDAYS(data!A1+2,data!A1+2)</f>
        <v>0</v>
      </c>
    </row>
    <row r="131" spans="1:1" x14ac:dyDescent="0.35">
      <c r="A131">
        <f>NETWORKDAYS(data!A1,data!A1,data!A1)</f>
        <v>0</v>
      </c>
    </row>
    <row r="132" spans="1:1" x14ac:dyDescent="0.35">
      <c r="A132">
        <f>NETWORKDAYS(data!A1,data!A1+13,46027)</f>
        <v>9</v>
      </c>
    </row>
    <row r="133" spans="1:1" x14ac:dyDescent="0.35">
      <c r="A133">
        <f>NETWORKDAYS(data!A1,data!A1+13,data!C1:C2)</f>
        <v>8</v>
      </c>
    </row>
    <row r="134" spans="1:1" x14ac:dyDescent="0.35">
      <c r="A134" t="e">
        <f>NETWORKDAYS(data!A1,data!A1+13,data!D1:D2)</f>
        <v>#VALUE!</v>
      </c>
    </row>
    <row r="135" spans="1:1" x14ac:dyDescent="0.35">
      <c r="A135">
        <f>NETWORKDAYS(data!A1,data!A1+13,data!E1:E2)</f>
        <v>8</v>
      </c>
    </row>
    <row r="136" spans="1:1" x14ac:dyDescent="0.35">
      <c r="A136" t="e">
        <f>NETWORKDAYS(data!A1,data!A1+13,data!A9)</f>
        <v>#DIV/0!</v>
      </c>
    </row>
    <row r="137" spans="1:1" x14ac:dyDescent="0.35">
      <c r="A137">
        <f>NETWORKDAYS(data!A1+0.9,data!A1+13.9)</f>
        <v>10</v>
      </c>
    </row>
    <row r="138" spans="1:1" x14ac:dyDescent="0.35">
      <c r="A138">
        <f>NETWORKDAYS(data!A1,data!A1+365)</f>
        <v>262</v>
      </c>
    </row>
    <row r="139" spans="1:1" x14ac:dyDescent="0.35">
      <c r="A139">
        <f>NETWORKDAYS(1,data!A11)</f>
        <v>2113190</v>
      </c>
    </row>
    <row r="140" spans="1:1" x14ac:dyDescent="0.35">
      <c r="A140">
        <f>NETWORKDAYS(data!A7,data!A1)</f>
        <v>1</v>
      </c>
    </row>
    <row r="141" spans="1:1" x14ac:dyDescent="0.35">
      <c r="A141" t="e">
        <f>NETWORKDAYS(-1,data!A1)</f>
        <v>#NUM!</v>
      </c>
    </row>
    <row r="142" spans="1:1" x14ac:dyDescent="0.35">
      <c r="A142">
        <f>WORKDAY(data!A1,1)</f>
        <v>46024</v>
      </c>
    </row>
    <row r="143" spans="1:1" x14ac:dyDescent="0.35">
      <c r="A143">
        <f>WORKDAY(data!A1,2)</f>
        <v>46027</v>
      </c>
    </row>
    <row r="144" spans="1:1" x14ac:dyDescent="0.35">
      <c r="A144">
        <f>WORKDAY(data!A1,2,data!B1:B6)</f>
        <v>46029</v>
      </c>
    </row>
    <row r="145" spans="1:1" x14ac:dyDescent="0.35">
      <c r="A145">
        <f>WORKDAY(data!A1,-1)</f>
        <v>46022</v>
      </c>
    </row>
    <row r="146" spans="1:1" x14ac:dyDescent="0.35">
      <c r="A146">
        <f>WORKDAY(data!A1,0)</f>
        <v>46023</v>
      </c>
    </row>
    <row r="147" spans="1:1" x14ac:dyDescent="0.35">
      <c r="A147">
        <f>WORKDAY(data!A1+2,0)</f>
        <v>46025</v>
      </c>
    </row>
    <row r="148" spans="1:1" x14ac:dyDescent="0.35">
      <c r="A148">
        <f>WORKDAY(data!A1+2,1)</f>
        <v>46027</v>
      </c>
    </row>
    <row r="149" spans="1:1" x14ac:dyDescent="0.35">
      <c r="A149">
        <f>WORKDAY(data!A1+2,-1)</f>
        <v>46024</v>
      </c>
    </row>
    <row r="150" spans="1:1" x14ac:dyDescent="0.35">
      <c r="A150">
        <f>WORKDAY(data!A1,1.9)</f>
        <v>46024</v>
      </c>
    </row>
    <row r="151" spans="1:1" x14ac:dyDescent="0.35">
      <c r="A151">
        <f>WORKDAY(data!A1,-1.9)</f>
        <v>46021</v>
      </c>
    </row>
    <row r="152" spans="1:1" x14ac:dyDescent="0.35">
      <c r="A152">
        <f>WORKDAY(data!A1,10,data!B1:B6)</f>
        <v>46041</v>
      </c>
    </row>
    <row r="153" spans="1:1" x14ac:dyDescent="0.35">
      <c r="A153">
        <f>WORKDAY(data!A1,1000)</f>
        <v>47423</v>
      </c>
    </row>
    <row r="154" spans="1:1" x14ac:dyDescent="0.35">
      <c r="A154">
        <f>WORKDAY(data!A1,-1000,data!B1:B6)</f>
        <v>44623</v>
      </c>
    </row>
    <row r="155" spans="1:1" x14ac:dyDescent="0.35">
      <c r="A155">
        <f>WORKDAY(46027,0,data!B1:B6)</f>
        <v>46027</v>
      </c>
    </row>
    <row r="156" spans="1:1" x14ac:dyDescent="0.35">
      <c r="A156">
        <f>WORKDAY(data!A1,3,data!C1:C2)</f>
        <v>46030</v>
      </c>
    </row>
    <row r="157" spans="1:1" x14ac:dyDescent="0.35">
      <c r="A157" t="e">
        <f>WORKDAY(data!A1,3,data!A9)</f>
        <v>#DIV/0!</v>
      </c>
    </row>
    <row r="158" spans="1:1" x14ac:dyDescent="0.35">
      <c r="A158" t="e">
        <f>WORKDAY(1,-1)</f>
        <v>#NUM!</v>
      </c>
    </row>
    <row r="159" spans="1:1" x14ac:dyDescent="0.35">
      <c r="A159" t="e">
        <f>WORKDAY(data!A11,1)</f>
        <v>#NUM!</v>
      </c>
    </row>
    <row r="160" spans="1:1" x14ac:dyDescent="0.35">
      <c r="A160">
        <f>WORKDAY(data!A1+0.5,1)</f>
        <v>46024</v>
      </c>
    </row>
    <row r="161" spans="1:1" x14ac:dyDescent="0.35">
      <c r="A161">
        <f>TIME(18,0,0)</f>
        <v>0.75</v>
      </c>
    </row>
    <row r="162" spans="1:1" x14ac:dyDescent="0.35">
      <c r="A162">
        <f>TIME(12,30,15)</f>
        <v>0.5210069444444444</v>
      </c>
    </row>
    <row r="163" spans="1:1" x14ac:dyDescent="0.35">
      <c r="A163">
        <f>TIME(24,0,0)</f>
        <v>0</v>
      </c>
    </row>
    <row r="164" spans="1:1" x14ac:dyDescent="0.35">
      <c r="A164">
        <f>TIME(25,0,0)</f>
        <v>4.1666666666666741E-2</v>
      </c>
    </row>
    <row r="165" spans="1:1" x14ac:dyDescent="0.35">
      <c r="A165">
        <f>TIME(23,59,60)</f>
        <v>0</v>
      </c>
    </row>
    <row r="166" spans="1:1" x14ac:dyDescent="0.35">
      <c r="A166">
        <f>TIME(0,90,0)</f>
        <v>6.25E-2</v>
      </c>
    </row>
    <row r="167" spans="1:1" x14ac:dyDescent="0.35">
      <c r="A167">
        <f>TIME(1,-30,0)</f>
        <v>2.0833333333333332E-2</v>
      </c>
    </row>
    <row r="168" spans="1:1" x14ac:dyDescent="0.35">
      <c r="A168">
        <f>TIME(1,-60,0)</f>
        <v>0</v>
      </c>
    </row>
    <row r="169" spans="1:1" x14ac:dyDescent="0.35">
      <c r="A169" t="e">
        <f>TIME(1,-61,0)</f>
        <v>#NUM!</v>
      </c>
    </row>
    <row r="170" spans="1:1" x14ac:dyDescent="0.35">
      <c r="A170">
        <f>TIME(-1,120,0)</f>
        <v>4.1666666666666664E-2</v>
      </c>
    </row>
    <row r="171" spans="1:1" x14ac:dyDescent="0.35">
      <c r="A171" t="e">
        <f>TIME(0,0,-1)</f>
        <v>#NUM!</v>
      </c>
    </row>
    <row r="172" spans="1:1" x14ac:dyDescent="0.35">
      <c r="A172">
        <f>TIME(0,0,59.9)</f>
        <v>6.8287037037037036E-4</v>
      </c>
    </row>
    <row r="173" spans="1:1" x14ac:dyDescent="0.35">
      <c r="A173" t="e">
        <f>TIME(0,0,-0.5)</f>
        <v>#NUM!</v>
      </c>
    </row>
    <row r="174" spans="1:1" x14ac:dyDescent="0.35">
      <c r="A174">
        <f>TIME(32767,0,0)</f>
        <v>0.29166666666674246</v>
      </c>
    </row>
    <row r="175" spans="1:1" x14ac:dyDescent="0.35">
      <c r="A175" t="e">
        <f>TIME(32768,0,0)</f>
        <v>#NUM!</v>
      </c>
    </row>
    <row r="176" spans="1:1" x14ac:dyDescent="0.35">
      <c r="A176">
        <f>TIME(0,32767,0)</f>
        <v>0.75486111111111143</v>
      </c>
    </row>
    <row r="177" spans="1:1" x14ac:dyDescent="0.35">
      <c r="A177">
        <f>TIME(0,0,32767)</f>
        <v>0.3792476851851852</v>
      </c>
    </row>
    <row r="178" spans="1:1" x14ac:dyDescent="0.35">
      <c r="A178" t="e">
        <f>TIME(0,0,32768)</f>
        <v>#NUM!</v>
      </c>
    </row>
    <row r="179" spans="1:1" x14ac:dyDescent="0.35">
      <c r="A179" t="e">
        <f>TIME(data!A9,0,0)</f>
        <v>#DIV/0!</v>
      </c>
    </row>
    <row r="180" spans="1:1" x14ac:dyDescent="0.35">
      <c r="A180">
        <f>HOUR(data!A5)</f>
        <v>18</v>
      </c>
    </row>
    <row r="181" spans="1:1" x14ac:dyDescent="0.35">
      <c r="A181">
        <f>MINUTE(data!A5)</f>
        <v>0</v>
      </c>
    </row>
    <row r="182" spans="1:1" x14ac:dyDescent="0.35">
      <c r="A182">
        <f>SECOND(data!A5)</f>
        <v>0</v>
      </c>
    </row>
    <row r="183" spans="1:1" x14ac:dyDescent="0.35">
      <c r="A183">
        <f>HOUR(0.75)</f>
        <v>18</v>
      </c>
    </row>
    <row r="184" spans="1:1" x14ac:dyDescent="0.35">
      <c r="A184">
        <f>HOUR(1.75)</f>
        <v>18</v>
      </c>
    </row>
    <row r="185" spans="1:1" x14ac:dyDescent="0.35">
      <c r="A185">
        <f>HOUR(0.999999)</f>
        <v>0</v>
      </c>
    </row>
    <row r="186" spans="1:1" x14ac:dyDescent="0.35">
      <c r="A186">
        <f>MINUTE(0.999999)</f>
        <v>0</v>
      </c>
    </row>
    <row r="187" spans="1:1" x14ac:dyDescent="0.35">
      <c r="A187">
        <f>SECOND(0.999999)</f>
        <v>0</v>
      </c>
    </row>
    <row r="188" spans="1:1" x14ac:dyDescent="0.35">
      <c r="A188">
        <f>HOUR(0.99999)</f>
        <v>23</v>
      </c>
    </row>
    <row r="189" spans="1:1" x14ac:dyDescent="0.35">
      <c r="A189">
        <f>SECOND(0.5/86400)</f>
        <v>1</v>
      </c>
    </row>
    <row r="190" spans="1:1" x14ac:dyDescent="0.35">
      <c r="A190">
        <f>SECOND(0.49/86400)</f>
        <v>0</v>
      </c>
    </row>
    <row r="191" spans="1:1" x14ac:dyDescent="0.35">
      <c r="A191">
        <f>SECOND(0.51/86400)</f>
        <v>1</v>
      </c>
    </row>
    <row r="192" spans="1:1" x14ac:dyDescent="0.35">
      <c r="A192">
        <f>SECOND(TIME(1,2,3)+0.4/86400)</f>
        <v>3</v>
      </c>
    </row>
    <row r="193" spans="1:1" x14ac:dyDescent="0.35">
      <c r="A193">
        <f>SECOND(TIME(1,2,3)+0.6/86400)</f>
        <v>4</v>
      </c>
    </row>
    <row r="194" spans="1:1" x14ac:dyDescent="0.35">
      <c r="A194">
        <f>SECOND(TIME(1,2,3))</f>
        <v>3</v>
      </c>
    </row>
    <row r="195" spans="1:1" x14ac:dyDescent="0.35">
      <c r="A195">
        <f>MINUTE(TIME(1,2,3))</f>
        <v>2</v>
      </c>
    </row>
    <row r="196" spans="1:1" x14ac:dyDescent="0.35">
      <c r="A196">
        <f>HOUR(TIME(1,2,3))</f>
        <v>1</v>
      </c>
    </row>
    <row r="197" spans="1:1" x14ac:dyDescent="0.35">
      <c r="A197" t="e">
        <f>HOUR(-0.1)</f>
        <v>#NUM!</v>
      </c>
    </row>
    <row r="198" spans="1:1" x14ac:dyDescent="0.35">
      <c r="A198" t="e">
        <f>HOUR(2958466)</f>
        <v>#NUM!</v>
      </c>
    </row>
    <row r="199" spans="1:1" x14ac:dyDescent="0.35">
      <c r="A199">
        <f>HOUR(data!A7)</f>
        <v>0</v>
      </c>
    </row>
    <row r="200" spans="1:1" x14ac:dyDescent="0.35">
      <c r="A200" t="e">
        <f>SECOND(data!A11+0.9999999)</f>
        <v>#NUM!</v>
      </c>
    </row>
    <row r="201" spans="1:1" x14ac:dyDescent="0.35">
      <c r="A201">
        <f>MINUTE(data!A12)</f>
        <v>0</v>
      </c>
    </row>
    <row r="202" spans="1:1" x14ac:dyDescent="0.35">
      <c r="A202">
        <f>DATEDIF(DATE(2001,1,1),DATE(2003,1,1),"Y")</f>
        <v>2</v>
      </c>
    </row>
    <row r="203" spans="1:1" x14ac:dyDescent="0.35">
      <c r="A203">
        <f>DATEDIF(DATE(2001,6,1),DATE(2002,8,15),"D")</f>
        <v>440</v>
      </c>
    </row>
    <row r="204" spans="1:1" x14ac:dyDescent="0.35">
      <c r="A204">
        <f>DATEDIF(DATE(2001,6,1),DATE(2002,8,15),"M")</f>
        <v>14</v>
      </c>
    </row>
    <row r="205" spans="1:1" x14ac:dyDescent="0.35">
      <c r="A205">
        <f>DATEDIF(DATE(2001,6,1),DATE(2002,8,15),"YM")</f>
        <v>2</v>
      </c>
    </row>
    <row r="206" spans="1:1" x14ac:dyDescent="0.35">
      <c r="A206">
        <f>DATEDIF(DATE(2001,6,1),DATE(2002,8,15),"YD")</f>
        <v>75</v>
      </c>
    </row>
    <row r="207" spans="1:1" x14ac:dyDescent="0.35">
      <c r="A207">
        <f>DATEDIF(DATE(2001,6,1),DATE(2002,8,15),"MD")</f>
        <v>14</v>
      </c>
    </row>
    <row r="208" spans="1:1" x14ac:dyDescent="0.35">
      <c r="A208">
        <f>DATEDIF(DATE(2001,6,1),DATE(2002,8,15),"md")</f>
        <v>14</v>
      </c>
    </row>
    <row r="209" spans="1:1" x14ac:dyDescent="0.35">
      <c r="A209">
        <f>DATEDIF(DATE(2011,1,31),DATE(2011,3,1),"MD")</f>
        <v>-2</v>
      </c>
    </row>
    <row r="210" spans="1:1" x14ac:dyDescent="0.35">
      <c r="A210">
        <f>DATEDIF(DATE(2011,1,31),DATE(2011,3,1),"M")</f>
        <v>1</v>
      </c>
    </row>
    <row r="211" spans="1:1" x14ac:dyDescent="0.35">
      <c r="A211">
        <f>DATEDIF(DATE(2011,1,31),DATE(2011,2,28),"M")</f>
        <v>0</v>
      </c>
    </row>
    <row r="212" spans="1:1" x14ac:dyDescent="0.35">
      <c r="A212">
        <f>DATEDIF(DATE(2020,2,29),DATE(2021,2,28),"Y")</f>
        <v>0</v>
      </c>
    </row>
    <row r="213" spans="1:1" x14ac:dyDescent="0.35">
      <c r="A213">
        <f>DATEDIF(DATE(2020,2,29),DATE(2021,2,28),"YD")</f>
        <v>365</v>
      </c>
    </row>
    <row r="214" spans="1:1" x14ac:dyDescent="0.35">
      <c r="A214">
        <f>DATEDIF(DATE(2020,2,29),DATE(2021,3,1),"YD")</f>
        <v>0</v>
      </c>
    </row>
    <row r="215" spans="1:1" x14ac:dyDescent="0.35">
      <c r="A215">
        <f>DATEDIF(DATE(2019,3,1),DATE(2020,2,29),"YD")</f>
        <v>365</v>
      </c>
    </row>
    <row r="216" spans="1:1" x14ac:dyDescent="0.35">
      <c r="A216">
        <f>DATEDIF(DATE(2019,12,31),DATE(2020,1,1),"YD")</f>
        <v>1</v>
      </c>
    </row>
    <row r="217" spans="1:1" x14ac:dyDescent="0.35">
      <c r="A217">
        <f>DATEDIF(DATE(2020,3,31),DATE(2020,4,30),"MD")</f>
        <v>30</v>
      </c>
    </row>
    <row r="218" spans="1:1" x14ac:dyDescent="0.35">
      <c r="A218">
        <f>DATEDIF(DATE(2020,1,31),DATE(2020,3,30),"MD")</f>
        <v>28</v>
      </c>
    </row>
    <row r="219" spans="1:1" x14ac:dyDescent="0.35">
      <c r="A219">
        <f>DATEDIF(data!A1,data!A1,"D")</f>
        <v>0</v>
      </c>
    </row>
    <row r="220" spans="1:1" x14ac:dyDescent="0.35">
      <c r="A220" t="e">
        <f>DATEDIF(data!A1,data!A2,"D")</f>
        <v>#NUM!</v>
      </c>
    </row>
    <row r="221" spans="1:1" x14ac:dyDescent="0.35">
      <c r="A221" t="e">
        <f>DATEDIF(data!A2,data!A1,"W")</f>
        <v>#NUM!</v>
      </c>
    </row>
    <row r="222" spans="1:1" x14ac:dyDescent="0.35">
      <c r="A222">
        <f>DATEDIF(data!A2,data!A1+0.9,"D")</f>
        <v>672</v>
      </c>
    </row>
    <row r="223" spans="1:1" x14ac:dyDescent="0.35">
      <c r="A223">
        <f>DATEDIF(1,61,"D")</f>
        <v>60</v>
      </c>
    </row>
    <row r="224" spans="1:1" x14ac:dyDescent="0.35">
      <c r="A224">
        <f>DATEDIF(0,61,"M")</f>
        <v>2</v>
      </c>
    </row>
    <row r="225" spans="1:1" x14ac:dyDescent="0.35">
      <c r="A225">
        <f>YEARFRAC(DATE(2012,1,1),DATE(2012,7,30))</f>
        <v>0.5805555555555556</v>
      </c>
    </row>
    <row r="226" spans="1:1" x14ac:dyDescent="0.35">
      <c r="A226">
        <f>YEARFRAC(DATE(2012,1,1),DATE(2012,7,30),1)</f>
        <v>0.57650273224043713</v>
      </c>
    </row>
    <row r="227" spans="1:1" x14ac:dyDescent="0.35">
      <c r="A227">
        <f>YEARFRAC(DATE(2012,1,1),DATE(2012,7,30),2)</f>
        <v>0.58611111111111114</v>
      </c>
    </row>
    <row r="228" spans="1:1" x14ac:dyDescent="0.35">
      <c r="A228">
        <f>YEARFRAC(DATE(2012,1,1),DATE(2012,7,30),3)</f>
        <v>0.57808219178082187</v>
      </c>
    </row>
    <row r="229" spans="1:1" x14ac:dyDescent="0.35">
      <c r="A229">
        <f>YEARFRAC(DATE(2012,1,1),DATE(2012,7,30),4)</f>
        <v>0.5805555555555556</v>
      </c>
    </row>
    <row r="230" spans="1:1" x14ac:dyDescent="0.35">
      <c r="A230">
        <f>YEARFRAC(DATE(2012,7,30),DATE(2012,1,1),1)</f>
        <v>0.57650273224043713</v>
      </c>
    </row>
    <row r="231" spans="1:1" x14ac:dyDescent="0.35">
      <c r="A231">
        <f>YEARFRAC(DATE(2011,1,31),DATE(2011,2,28),0)</f>
        <v>7.7777777777777779E-2</v>
      </c>
    </row>
    <row r="232" spans="1:1" x14ac:dyDescent="0.35">
      <c r="A232">
        <f>YEARFRAC(DATE(2011,2,28),DATE(2011,3,31),0)</f>
        <v>8.611111111111111E-2</v>
      </c>
    </row>
    <row r="233" spans="1:1" x14ac:dyDescent="0.35">
      <c r="A233">
        <f>YEARFRAC(DATE(2012,2,29),DATE(2013,2,28),0)</f>
        <v>1</v>
      </c>
    </row>
    <row r="234" spans="1:1" x14ac:dyDescent="0.35">
      <c r="A234">
        <f>YEARFRAC(DATE(2011,1,30),DATE(2011,3,31),0)</f>
        <v>0.16666666666666666</v>
      </c>
    </row>
    <row r="235" spans="1:1" x14ac:dyDescent="0.35">
      <c r="A235">
        <f>YEARFRAC(DATE(2011,1,31),DATE(2011,3,31),4)</f>
        <v>0.16666666666666666</v>
      </c>
    </row>
    <row r="236" spans="1:1" x14ac:dyDescent="0.35">
      <c r="A236">
        <f>YEARFRAC(DATE(2011,2,28),DATE(2011,3,31),4)</f>
        <v>8.8888888888888892E-2</v>
      </c>
    </row>
    <row r="237" spans="1:1" x14ac:dyDescent="0.35">
      <c r="A237">
        <f>YEARFRAC(DATE(2010,6,15),DATE(2013,2,1),1)</f>
        <v>2.6338124572210813</v>
      </c>
    </row>
    <row r="238" spans="1:1" x14ac:dyDescent="0.35">
      <c r="A238">
        <f>YEARFRAC(DATE(2011,3,1),DATE(2012,3,1),1)</f>
        <v>1</v>
      </c>
    </row>
    <row r="239" spans="1:1" x14ac:dyDescent="0.35">
      <c r="A239">
        <f>YEARFRAC(DATE(2011,3,2),DATE(2012,3,1),1)</f>
        <v>0.99726775956284153</v>
      </c>
    </row>
    <row r="240" spans="1:1" x14ac:dyDescent="0.35">
      <c r="A240">
        <f>YEARFRAC(DATE(2012,2,29),DATE(2013,1,1),1)</f>
        <v>0.83879781420765032</v>
      </c>
    </row>
    <row r="241" spans="1:1" x14ac:dyDescent="0.35">
      <c r="A241">
        <f>YEARFRAC(DATE(2012,1,1),DATE(2013,1,1),1)</f>
        <v>1</v>
      </c>
    </row>
    <row r="242" spans="1:1" x14ac:dyDescent="0.35">
      <c r="A242">
        <f>YEARFRAC(DATE(2011,6,1),DATE(2012,5,31),1)</f>
        <v>0.99726775956284153</v>
      </c>
    </row>
    <row r="243" spans="1:1" x14ac:dyDescent="0.35">
      <c r="A243">
        <f>YEARFRAC(DATE(2011,1,1),DATE(2011,12,31),1)</f>
        <v>0.99726027397260275</v>
      </c>
    </row>
    <row r="244" spans="1:1" x14ac:dyDescent="0.35">
      <c r="A244">
        <f>YEARFRAC(DATE(1900,1,1),DATE(1900,12,31),1)</f>
        <v>1</v>
      </c>
    </row>
    <row r="245" spans="1:1" x14ac:dyDescent="0.35">
      <c r="A245">
        <f>YEARFRAC(DATE(1900,1,1),DATE(1901,1,1),1)</f>
        <v>1.0027397260273974</v>
      </c>
    </row>
    <row r="246" spans="1:1" x14ac:dyDescent="0.35">
      <c r="A246">
        <f>YEARFRAC(data!A2,data!A1,0)</f>
        <v>1.836111111111111</v>
      </c>
    </row>
    <row r="247" spans="1:1" x14ac:dyDescent="0.35">
      <c r="A247">
        <f>YEARFRAC(data!A2,data!A1,1)</f>
        <v>1.8394160583941608</v>
      </c>
    </row>
    <row r="248" spans="1:1" x14ac:dyDescent="0.35">
      <c r="A248">
        <f>YEARFRAC(data!A2,data!A1,3)</f>
        <v>1.8410958904109589</v>
      </c>
    </row>
    <row r="249" spans="1:1" x14ac:dyDescent="0.35">
      <c r="A249">
        <f>YEARFRAC(data!A1,data!A1)</f>
        <v>0</v>
      </c>
    </row>
    <row r="250" spans="1:1" x14ac:dyDescent="0.35">
      <c r="A250">
        <f>YEARFRAC(data!A2,data!A1,1.9)</f>
        <v>1.8394160583941608</v>
      </c>
    </row>
    <row r="251" spans="1:1" x14ac:dyDescent="0.35">
      <c r="A251" t="e">
        <f>YEARFRAC(data!A2,data!A1,-1)</f>
        <v>#NUM!</v>
      </c>
    </row>
    <row r="252" spans="1:1" x14ac:dyDescent="0.35">
      <c r="A252" t="e">
        <f>YEARFRAC(data!A2,data!A1,5)</f>
        <v>#NUM!</v>
      </c>
    </row>
    <row r="253" spans="1:1" x14ac:dyDescent="0.35">
      <c r="A253">
        <f>YEARFRAC(data!A2,data!A7)</f>
        <v>1.836111111111111</v>
      </c>
    </row>
    <row r="254" spans="1:1" x14ac:dyDescent="0.35">
      <c r="A254">
        <f>WEEKNUM(data!A1)</f>
        <v>1</v>
      </c>
    </row>
    <row r="255" spans="1:1" x14ac:dyDescent="0.35">
      <c r="A255">
        <f>WEEKNUM(DATE(2026,1,3))</f>
        <v>1</v>
      </c>
    </row>
    <row r="256" spans="1:1" x14ac:dyDescent="0.35">
      <c r="A256">
        <f>WEEKNUM(DATE(2026,1,4))</f>
        <v>2</v>
      </c>
    </row>
    <row r="257" spans="1:1" x14ac:dyDescent="0.35">
      <c r="A257">
        <f>WEEKNUM(DATE(2026,1,4),2)</f>
        <v>1</v>
      </c>
    </row>
    <row r="258" spans="1:1" x14ac:dyDescent="0.35">
      <c r="A258">
        <f>WEEKNUM(DATE(2026,1,5),2)</f>
        <v>2</v>
      </c>
    </row>
    <row r="259" spans="1:1" x14ac:dyDescent="0.35">
      <c r="A259">
        <f>WEEKNUM(DATE(2026,12,31))</f>
        <v>53</v>
      </c>
    </row>
    <row r="260" spans="1:1" x14ac:dyDescent="0.35">
      <c r="A260">
        <f>WEEKNUM(DATE(2026,12,31),2)</f>
        <v>53</v>
      </c>
    </row>
    <row r="261" spans="1:1" x14ac:dyDescent="0.35">
      <c r="A261">
        <f>WEEKNUM(DATE(2026,1,8),11)</f>
        <v>2</v>
      </c>
    </row>
    <row r="262" spans="1:1" x14ac:dyDescent="0.35">
      <c r="A262">
        <f>WEEKNUM(DATE(2026,1,8),12)</f>
        <v>2</v>
      </c>
    </row>
    <row r="263" spans="1:1" x14ac:dyDescent="0.35">
      <c r="A263">
        <f>WEEKNUM(DATE(2026,1,8),13)</f>
        <v>2</v>
      </c>
    </row>
    <row r="264" spans="1:1" x14ac:dyDescent="0.35">
      <c r="A264">
        <f>WEEKNUM(DATE(2026,1,8),14)</f>
        <v>2</v>
      </c>
    </row>
    <row r="265" spans="1:1" x14ac:dyDescent="0.35">
      <c r="A265">
        <f>WEEKNUM(DATE(2026,1,8),15)</f>
        <v>2</v>
      </c>
    </row>
    <row r="266" spans="1:1" x14ac:dyDescent="0.35">
      <c r="A266">
        <f>WEEKNUM(DATE(2026,1,8),16)</f>
        <v>2</v>
      </c>
    </row>
    <row r="267" spans="1:1" x14ac:dyDescent="0.35">
      <c r="A267">
        <f>WEEKNUM(DATE(2026,1,8),17)</f>
        <v>2</v>
      </c>
    </row>
    <row r="268" spans="1:1" x14ac:dyDescent="0.35">
      <c r="A268">
        <f>WEEKNUM(DATE(2026,1,1),21)</f>
        <v>1</v>
      </c>
    </row>
    <row r="269" spans="1:1" x14ac:dyDescent="0.35">
      <c r="A269">
        <f>WEEKNUM(DATE(2027,1,1),21)</f>
        <v>53</v>
      </c>
    </row>
    <row r="270" spans="1:1" x14ac:dyDescent="0.35">
      <c r="A270">
        <f>WEEKNUM(DATE(2024,12,30),21)</f>
        <v>1</v>
      </c>
    </row>
    <row r="271" spans="1:1" x14ac:dyDescent="0.35">
      <c r="A271">
        <f>WEEKNUM(DATE(2021,1,3),21)</f>
        <v>53</v>
      </c>
    </row>
    <row r="272" spans="1:1" x14ac:dyDescent="0.35">
      <c r="A272">
        <f>WEEKNUM(DATE(2020,12,31),21)</f>
        <v>53</v>
      </c>
    </row>
    <row r="273" spans="1:1" x14ac:dyDescent="0.35">
      <c r="A273">
        <f>WEEKNUM(0)</f>
        <v>0</v>
      </c>
    </row>
    <row r="274" spans="1:1" x14ac:dyDescent="0.35">
      <c r="A274">
        <f>WEEKNUM(1)</f>
        <v>1</v>
      </c>
    </row>
    <row r="275" spans="1:1" x14ac:dyDescent="0.35">
      <c r="A275">
        <f>WEEKNUM(1,21)</f>
        <v>52</v>
      </c>
    </row>
    <row r="276" spans="1:1" x14ac:dyDescent="0.35">
      <c r="A276">
        <f>WEEKNUM(60)</f>
        <v>9</v>
      </c>
    </row>
    <row r="277" spans="1:1" x14ac:dyDescent="0.35">
      <c r="A277" t="e">
        <f>WEEKNUM(data!A1,3)</f>
        <v>#NUM!</v>
      </c>
    </row>
    <row r="278" spans="1:1" x14ac:dyDescent="0.35">
      <c r="A278">
        <f>WEEKNUM(data!A1,1.9)</f>
        <v>1</v>
      </c>
    </row>
    <row r="279" spans="1:1" x14ac:dyDescent="0.35">
      <c r="A279" t="e">
        <f>WEEKNUM(data!A1,22)</f>
        <v>#NUM!</v>
      </c>
    </row>
    <row r="280" spans="1:1" x14ac:dyDescent="0.35">
      <c r="A280">
        <f>data!F1+1</f>
        <v>1001</v>
      </c>
    </row>
    <row r="281" spans="1:1" x14ac:dyDescent="0.35">
      <c r="A281">
        <f>data!F2*2</f>
        <v>10</v>
      </c>
    </row>
    <row r="282" spans="1:1" x14ac:dyDescent="0.35">
      <c r="A282" t="e">
        <f>data!F3+1</f>
        <v>#VALUE!</v>
      </c>
    </row>
    <row r="283" spans="1:1" x14ac:dyDescent="0.35">
      <c r="A283">
        <f>data!F4+1</f>
        <v>6</v>
      </c>
    </row>
    <row r="284" spans="1:1" x14ac:dyDescent="0.35">
      <c r="A284" t="e">
        <f>data!A8+1</f>
        <v>#VALUE!</v>
      </c>
    </row>
    <row r="285" spans="1:1" x14ac:dyDescent="0.35">
      <c r="A285">
        <f>data!A7+0</f>
        <v>46023</v>
      </c>
    </row>
    <row r="286" spans="1:1" x14ac:dyDescent="0.35">
      <c r="A286">
        <f>-data!F1</f>
        <v>-1000</v>
      </c>
    </row>
    <row r="287" spans="1:1" x14ac:dyDescent="0.35">
      <c r="A287">
        <f>data!F1%</f>
        <v>10</v>
      </c>
    </row>
    <row r="288" spans="1:1" x14ac:dyDescent="0.35">
      <c r="A288" t="str">
        <f>""&amp;data!F1</f>
        <v>1,000</v>
      </c>
    </row>
    <row r="289" spans="1:1" x14ac:dyDescent="0.35">
      <c r="A289" t="b">
        <f>data!F1=1000</f>
        <v>0</v>
      </c>
    </row>
    <row r="290" spans="1:1" x14ac:dyDescent="0.35">
      <c r="A290">
        <f>VALUE(data!F1)</f>
        <v>1000</v>
      </c>
    </row>
    <row r="291" spans="1:1" x14ac:dyDescent="0.35">
      <c r="A291">
        <f>DATEVALUE("1/1/2026")</f>
        <v>46023</v>
      </c>
    </row>
    <row r="292" spans="1:1" x14ac:dyDescent="0.35">
      <c r="A292">
        <f>TIMEVALUE("12:00")</f>
        <v>0.5</v>
      </c>
    </row>
    <row r="293" spans="1:1" x14ac:dyDescent="0.35">
      <c r="A293">
        <f ca="1">TODAY()-TODAY()</f>
        <v>0</v>
      </c>
    </row>
    <row r="294" spans="1:1" x14ac:dyDescent="0.35">
      <c r="A294">
        <f ca="1">NOW()-NOW()</f>
        <v>0</v>
      </c>
    </row>
    <row r="295" spans="1:1" x14ac:dyDescent="0.35">
      <c r="A295" t="str">
        <f>TEXT(DATE(2026,1,1),"dddd, mmmm d, yyyy")</f>
        <v>Thursday, January 1, 2026</v>
      </c>
    </row>
    <row r="296" spans="1:1" x14ac:dyDescent="0.35">
      <c r="A296" t="str">
        <f>TEXT(TIME(18,5,9),"hh:mm:ss")</f>
        <v>18:05:09</v>
      </c>
    </row>
    <row r="297" spans="1:1" x14ac:dyDescent="0.35">
      <c r="A297" t="str">
        <f>TEXT(EOMONTH(data!A2,0),"yyyy-mm-dd")</f>
        <v>2024-02-29</v>
      </c>
    </row>
    <row r="298" spans="1:1" x14ac:dyDescent="0.35">
      <c r="A298">
        <f>DATE(-1,13,1)</f>
        <v>1</v>
      </c>
    </row>
    <row r="299" spans="1:1" x14ac:dyDescent="0.35">
      <c r="A299">
        <f>DATE(1899,13,1)</f>
        <v>693963</v>
      </c>
    </row>
    <row r="300" spans="1:1" x14ac:dyDescent="0.35">
      <c r="A300" t="e">
        <f>YEAR(-0.000001)</f>
        <v>#NUM!</v>
      </c>
    </row>
    <row r="301" spans="1:1" x14ac:dyDescent="0.35">
      <c r="A301" t="e">
        <f>HOUR(-0.000001)</f>
        <v>#NUM!</v>
      </c>
    </row>
    <row r="302" spans="1:1" x14ac:dyDescent="0.35">
      <c r="A302">
        <f>WEEKDAY(45658.99999999)</f>
        <v>5</v>
      </c>
    </row>
    <row r="303" spans="1:1" x14ac:dyDescent="0.35">
      <c r="A303">
        <f>EOMONTH(45688.99999999,0)</f>
        <v>45688</v>
      </c>
    </row>
    <row r="304" spans="1:1" x14ac:dyDescent="0.35">
      <c r="A304">
        <f>EDATE(45658.99999999,0)</f>
        <v>45658</v>
      </c>
    </row>
    <row r="305" spans="1:1" x14ac:dyDescent="0.35">
      <c r="A305">
        <f>_xlfn.DAYS(45658.99999999,45658)</f>
        <v>0</v>
      </c>
    </row>
    <row r="306" spans="1:1" x14ac:dyDescent="0.35">
      <c r="A306">
        <f>NETWORKDAYS(45658.99999999,45659)</f>
        <v>2</v>
      </c>
    </row>
    <row r="307" spans="1:1" x14ac:dyDescent="0.35">
      <c r="A307">
        <f>NETWORKDAYS(45659,45660,45658.99999999)</f>
        <v>2</v>
      </c>
    </row>
    <row r="308" spans="1:1" x14ac:dyDescent="0.35">
      <c r="A308">
        <f>WORKDAY(45658.99999999,0)</f>
        <v>45658</v>
      </c>
    </row>
    <row r="309" spans="1:1" x14ac:dyDescent="0.35">
      <c r="A309">
        <f>DATEDIF(45658,45658.99999999,"D")</f>
        <v>0</v>
      </c>
    </row>
    <row r="310" spans="1:1" x14ac:dyDescent="0.35">
      <c r="A310">
        <f>YEARFRAC(45658,45658.99999999,3)</f>
        <v>0</v>
      </c>
    </row>
    <row r="311" spans="1:1" x14ac:dyDescent="0.35">
      <c r="A311">
        <f>WEEKNUM(45661.99999999)</f>
        <v>1</v>
      </c>
    </row>
    <row r="312" spans="1:1" x14ac:dyDescent="0.35">
      <c r="A312" t="str">
        <f>TEXT(45658.99999999,"d")</f>
        <v>2</v>
      </c>
    </row>
    <row r="313" spans="1:1" x14ac:dyDescent="0.35">
      <c r="A313">
        <f>TIME(1,-0.5,0)</f>
        <v>4.0972222222222222E-2</v>
      </c>
    </row>
    <row r="314" spans="1:1" x14ac:dyDescent="0.35">
      <c r="A314">
        <f>TIME(-0.5,60,0)</f>
        <v>0</v>
      </c>
    </row>
    <row r="315" spans="1:1" x14ac:dyDescent="0.35">
      <c r="A315">
        <f>EDATE(60,0)</f>
        <v>59</v>
      </c>
    </row>
    <row r="316" spans="1:1" x14ac:dyDescent="0.35">
      <c r="A316">
        <f>DATEDIF(DATE(2020,2,29),DATE(2022,2,28),"YD")</f>
        <v>365</v>
      </c>
    </row>
    <row r="317" spans="1:1" x14ac:dyDescent="0.35">
      <c r="A317">
        <f>DATEDIF(DATE(2019,2,28),DATE(2020,2,29),"YD")</f>
        <v>1</v>
      </c>
    </row>
    <row r="318" spans="1:1" x14ac:dyDescent="0.35">
      <c r="A318">
        <f>DATEDIF(DATE(2020,2,29),DATE(2021,2,28),"MD")</f>
        <v>30</v>
      </c>
    </row>
    <row r="319" spans="1:1" x14ac:dyDescent="0.35">
      <c r="A319">
        <f>YEARFRAC(DATE(1900,2,28),DATE(1900,3,31),0)</f>
        <v>8.611111111111111E-2</v>
      </c>
    </row>
    <row r="320" spans="1:1" x14ac:dyDescent="0.35">
      <c r="A320">
        <f>YEARFRAC(60,DATE(1900,3,31),0)</f>
        <v>8.8888888888888892E-2</v>
      </c>
    </row>
    <row r="321" spans="1:1" x14ac:dyDescent="0.35">
      <c r="A321">
        <f>YEARFRAC(DATE(1900,1,1),DATE(1902,1,2),1)</f>
        <v>2.0054794520547947</v>
      </c>
    </row>
    <row r="322" spans="1:1" x14ac:dyDescent="0.35">
      <c r="A322" t="e">
        <f>YEARFRAC(data!A2,data!A1,-0.5)</f>
        <v>#NUM!</v>
      </c>
    </row>
    <row r="323" spans="1:1" x14ac:dyDescent="0.35">
      <c r="A323" t="e">
        <f>WEEKNUM(DATE(2021,1,3),0)</f>
        <v>#NUM!</v>
      </c>
    </row>
    <row r="324" spans="1:1" x14ac:dyDescent="0.35">
      <c r="A324" t="e">
        <f>WEEKNUM(DATE(2021,1,3),4)</f>
        <v>#NUM!</v>
      </c>
    </row>
    <row r="325" spans="1:1" x14ac:dyDescent="0.35">
      <c r="A325" t="e">
        <f>WEEKNUM(DATE(2021,1,3),10)</f>
        <v>#NUM!</v>
      </c>
    </row>
    <row r="326" spans="1:1" x14ac:dyDescent="0.35">
      <c r="A326" t="e">
        <f>WEEKNUM(DATE(2021,1,3),18)</f>
        <v>#NUM!</v>
      </c>
    </row>
    <row r="327" spans="1:1" x14ac:dyDescent="0.35">
      <c r="A327" t="e">
        <f>WEEKNUM(DATE(2021,1,3),20)</f>
        <v>#NUM!</v>
      </c>
    </row>
    <row r="328" spans="1:1" x14ac:dyDescent="0.35">
      <c r="A328">
        <f>WEEKNUM(DATE(2021,1,3),28)</f>
        <v>1</v>
      </c>
    </row>
    <row r="329" spans="1:1" x14ac:dyDescent="0.35">
      <c r="A329">
        <f>WEEKNUM(DATE(2021,1,3),30)</f>
        <v>1</v>
      </c>
    </row>
    <row r="330" spans="1:1" x14ac:dyDescent="0.35">
      <c r="A330">
        <f>WEEKNUM(DATE(2021,1,3),150)</f>
        <v>1</v>
      </c>
    </row>
    <row r="331" spans="1:1" x14ac:dyDescent="0.35">
      <c r="A331">
        <f>WEEKNUM(DATE(2021,1,1),22)</f>
        <v>1</v>
      </c>
    </row>
    <row r="332" spans="1:1" x14ac:dyDescent="0.35">
      <c r="A332">
        <f>WEEKNUM(DATE(2021,1,3),22)</f>
        <v>1</v>
      </c>
    </row>
    <row r="333" spans="1:1" x14ac:dyDescent="0.35">
      <c r="A333">
        <f>WEEKNUM(DATE(2022,1,1),22)</f>
        <v>1</v>
      </c>
    </row>
    <row r="334" spans="1:1" x14ac:dyDescent="0.35">
      <c r="A334">
        <f>WEEKNUM(DATE(2021,1,1),23)</f>
        <v>1</v>
      </c>
    </row>
    <row r="335" spans="1:1" x14ac:dyDescent="0.35">
      <c r="A335">
        <f>WEEKNUM(DATE(2021,1,3),23)</f>
        <v>1</v>
      </c>
    </row>
    <row r="336" spans="1:1" x14ac:dyDescent="0.35">
      <c r="A336">
        <f>WEEKNUM(DATE(2022,1,1),23)</f>
        <v>1</v>
      </c>
    </row>
    <row r="337" spans="1:1" x14ac:dyDescent="0.35">
      <c r="A337">
        <f>WEEKNUM(DATE(2021,1,1),24)</f>
        <v>1</v>
      </c>
    </row>
    <row r="338" spans="1:1" x14ac:dyDescent="0.35">
      <c r="A338">
        <f>WEEKNUM(DATE(2021,1,3),24)</f>
        <v>1</v>
      </c>
    </row>
    <row r="339" spans="1:1" x14ac:dyDescent="0.35">
      <c r="A339">
        <f>WEEKNUM(DATE(2022,1,1),24)</f>
        <v>1</v>
      </c>
    </row>
    <row r="340" spans="1:1" x14ac:dyDescent="0.35">
      <c r="A340">
        <f>WEEKNUM(DATE(2021,1,1),25)</f>
        <v>1</v>
      </c>
    </row>
    <row r="341" spans="1:1" x14ac:dyDescent="0.35">
      <c r="A341">
        <f>WEEKNUM(DATE(2021,1,3),25)</f>
        <v>1</v>
      </c>
    </row>
    <row r="342" spans="1:1" x14ac:dyDescent="0.35">
      <c r="A342">
        <f>WEEKNUM(DATE(2022,1,1),25)</f>
        <v>1</v>
      </c>
    </row>
    <row r="343" spans="1:1" x14ac:dyDescent="0.35">
      <c r="A343">
        <f>WEEKNUM(DATE(2021,1,1),26)</f>
        <v>1</v>
      </c>
    </row>
    <row r="344" spans="1:1" x14ac:dyDescent="0.35">
      <c r="A344">
        <f>WEEKNUM(DATE(2021,1,3),26)</f>
        <v>1</v>
      </c>
    </row>
    <row r="345" spans="1:1" x14ac:dyDescent="0.35">
      <c r="A345">
        <f>WEEKNUM(DATE(2022,1,1),26)</f>
        <v>1</v>
      </c>
    </row>
    <row r="346" spans="1:1" x14ac:dyDescent="0.35">
      <c r="A346">
        <f>WEEKNUM(DATE(2021,1,1),27)</f>
        <v>1</v>
      </c>
    </row>
    <row r="347" spans="1:1" x14ac:dyDescent="0.35">
      <c r="A347">
        <f>WEEKNUM(DATE(2021,1,3),27)</f>
        <v>1</v>
      </c>
    </row>
    <row r="348" spans="1:1" x14ac:dyDescent="0.35">
      <c r="A348">
        <f>WEEKNUM(DATE(2022,1,1),27)</f>
        <v>1</v>
      </c>
    </row>
    <row r="349" spans="1:1" x14ac:dyDescent="0.35">
      <c r="A349">
        <f>DATEDIF(DATE(2018,12,31),DATE(2019,1,1),"YD")</f>
        <v>1</v>
      </c>
    </row>
    <row r="350" spans="1:1" x14ac:dyDescent="0.35">
      <c r="A350">
        <f>DATEDIF(DATE(2001,6,1),DATE(2003,5,1),"YD")</f>
        <v>334</v>
      </c>
    </row>
    <row r="351" spans="1:1" x14ac:dyDescent="0.35">
      <c r="A351">
        <f>DATEDIF(DATE(2019,3,1),DATE(2021,2,28),"YD")</f>
        <v>364</v>
      </c>
    </row>
    <row r="352" spans="1:1" x14ac:dyDescent="0.35">
      <c r="A352">
        <f>DATEDIF(DATE(2020,2,29),DATE(2023,2,28),"YD")</f>
        <v>365</v>
      </c>
    </row>
    <row r="353" spans="1:1" x14ac:dyDescent="0.35">
      <c r="A353">
        <f>DATEDIF(DATE(2016,2,29),DATE(2018,1,15),"YD")</f>
        <v>321</v>
      </c>
    </row>
    <row r="354" spans="1:1" x14ac:dyDescent="0.35">
      <c r="A354">
        <f>DATEDIF(DATE(1988,6,22),DATE(2012,5,11),"YD")</f>
        <v>323</v>
      </c>
    </row>
    <row r="355" spans="1:1" x14ac:dyDescent="0.35">
      <c r="A355">
        <f>DATEDIF(DATE(2020,2,29),DATE(2023,3,1),"YD")</f>
        <v>0</v>
      </c>
    </row>
    <row r="356" spans="1:1" x14ac:dyDescent="0.35">
      <c r="A356" t="e">
        <f>DATE(10000,-11,1)</f>
        <v>#NUM!</v>
      </c>
    </row>
    <row r="357" spans="1:1" x14ac:dyDescent="0.35">
      <c r="A357" t="e">
        <f>DATE(10000,-11,1)</f>
        <v>#NUM!</v>
      </c>
    </row>
    <row r="358" spans="1:1" x14ac:dyDescent="0.35">
      <c r="A358">
        <f>WEEKNUM(data!A1,22)</f>
        <v>1</v>
      </c>
    </row>
    <row r="359" spans="1:1" x14ac:dyDescent="0.35">
      <c r="A359">
        <f>WEEKNUM(data!A1,22)</f>
        <v>1</v>
      </c>
    </row>
    <row r="360" spans="1:1" x14ac:dyDescent="0.35">
      <c r="A360">
        <f>DATEDIF(DATE(2019,1,31),DATE(2020,3,31),"YD")</f>
        <v>59</v>
      </c>
    </row>
    <row r="361" spans="1:1" x14ac:dyDescent="0.35">
      <c r="A361">
        <f>DATEDIF(DATE(2007,1,1),DATE(2008,3,1),"YD")</f>
        <v>59</v>
      </c>
    </row>
    <row r="362" spans="1:1" x14ac:dyDescent="0.35">
      <c r="A362">
        <f>DATEDIF(DATE(2019,6,1),DATE(2021,5,1),"YD")</f>
        <v>335</v>
      </c>
    </row>
    <row r="363" spans="1:1" x14ac:dyDescent="0.35">
      <c r="A363">
        <f>DATEDIF(DATE(2020,6,1),DATE(2024,5,1),"YD")</f>
        <v>334</v>
      </c>
    </row>
    <row r="364" spans="1:1" x14ac:dyDescent="0.35">
      <c r="A364">
        <f>DATEDIF(DATE(2019,1,15),DATE(2021,1,10),"YD")</f>
        <v>360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2"/>
  <sheetViews>
    <sheetView workbookViewId="0"/>
  </sheetViews>
  <sheetFormatPr defaultRowHeight="14.5" x14ac:dyDescent="0.35"/>
  <sheetData>
    <row r="1" spans="1:5" x14ac:dyDescent="0.35">
      <c r="A1">
        <f t="shared" ref="A1:A202" si="0">DATE(1899+ROW(),1,1)</f>
        <v>1</v>
      </c>
      <c r="B1">
        <f t="shared" ref="B1:B202" si="1">DAY(EOMONTH(A1,1))</f>
        <v>28</v>
      </c>
      <c r="C1">
        <f t="shared" ref="C1:C202" si="2">WEEKDAY(A1)*100+WEEKNUM(A1,21)</f>
        <v>152</v>
      </c>
      <c r="D1">
        <f t="shared" ref="D1:D202" si="3">YEAR(A1-1)*10000+MONTH(A1-1)*100+DAY(A1-1)</f>
        <v>19000100</v>
      </c>
      <c r="E1">
        <f t="shared" ref="E1:E202" si="4">WEEKNUM(DATE(1899+ROW(),12,31),21)</f>
        <v>1</v>
      </c>
    </row>
    <row r="2" spans="1:5" x14ac:dyDescent="0.35">
      <c r="A2">
        <f t="shared" si="0"/>
        <v>367</v>
      </c>
      <c r="B2">
        <f t="shared" si="1"/>
        <v>28</v>
      </c>
      <c r="C2">
        <f t="shared" si="2"/>
        <v>301</v>
      </c>
      <c r="D2">
        <f t="shared" si="3"/>
        <v>19001231</v>
      </c>
      <c r="E2">
        <f t="shared" si="4"/>
        <v>1</v>
      </c>
    </row>
    <row r="3" spans="1:5" x14ac:dyDescent="0.35">
      <c r="A3">
        <f t="shared" si="0"/>
        <v>732</v>
      </c>
      <c r="B3">
        <f t="shared" si="1"/>
        <v>28</v>
      </c>
      <c r="C3">
        <f t="shared" si="2"/>
        <v>401</v>
      </c>
      <c r="D3">
        <f t="shared" si="3"/>
        <v>19011231</v>
      </c>
      <c r="E3">
        <f t="shared" si="4"/>
        <v>1</v>
      </c>
    </row>
    <row r="4" spans="1:5" x14ac:dyDescent="0.35">
      <c r="A4">
        <f t="shared" si="0"/>
        <v>1097</v>
      </c>
      <c r="B4">
        <f t="shared" si="1"/>
        <v>28</v>
      </c>
      <c r="C4">
        <f t="shared" si="2"/>
        <v>501</v>
      </c>
      <c r="D4">
        <f t="shared" si="3"/>
        <v>19021231</v>
      </c>
      <c r="E4">
        <f t="shared" si="4"/>
        <v>53</v>
      </c>
    </row>
    <row r="5" spans="1:5" x14ac:dyDescent="0.35">
      <c r="A5">
        <f t="shared" si="0"/>
        <v>1462</v>
      </c>
      <c r="B5">
        <f t="shared" si="1"/>
        <v>29</v>
      </c>
      <c r="C5">
        <f t="shared" si="2"/>
        <v>653</v>
      </c>
      <c r="D5">
        <f t="shared" si="3"/>
        <v>19031231</v>
      </c>
      <c r="E5">
        <f t="shared" si="4"/>
        <v>52</v>
      </c>
    </row>
    <row r="6" spans="1:5" x14ac:dyDescent="0.35">
      <c r="A6">
        <f t="shared" si="0"/>
        <v>1828</v>
      </c>
      <c r="B6">
        <f t="shared" si="1"/>
        <v>28</v>
      </c>
      <c r="C6">
        <f t="shared" si="2"/>
        <v>152</v>
      </c>
      <c r="D6">
        <f t="shared" si="3"/>
        <v>19041231</v>
      </c>
      <c r="E6">
        <f t="shared" si="4"/>
        <v>52</v>
      </c>
    </row>
    <row r="7" spans="1:5" x14ac:dyDescent="0.35">
      <c r="A7">
        <f t="shared" si="0"/>
        <v>2193</v>
      </c>
      <c r="B7">
        <f t="shared" si="1"/>
        <v>28</v>
      </c>
      <c r="C7">
        <f t="shared" si="2"/>
        <v>201</v>
      </c>
      <c r="D7">
        <f t="shared" si="3"/>
        <v>19051231</v>
      </c>
      <c r="E7">
        <f t="shared" si="4"/>
        <v>1</v>
      </c>
    </row>
    <row r="8" spans="1:5" x14ac:dyDescent="0.35">
      <c r="A8">
        <f t="shared" si="0"/>
        <v>2558</v>
      </c>
      <c r="B8">
        <f t="shared" si="1"/>
        <v>28</v>
      </c>
      <c r="C8">
        <f t="shared" si="2"/>
        <v>301</v>
      </c>
      <c r="D8">
        <f t="shared" si="3"/>
        <v>19061231</v>
      </c>
      <c r="E8">
        <f t="shared" si="4"/>
        <v>1</v>
      </c>
    </row>
    <row r="9" spans="1:5" x14ac:dyDescent="0.35">
      <c r="A9">
        <f t="shared" si="0"/>
        <v>2923</v>
      </c>
      <c r="B9">
        <f t="shared" si="1"/>
        <v>29</v>
      </c>
      <c r="C9">
        <f t="shared" si="2"/>
        <v>401</v>
      </c>
      <c r="D9">
        <f t="shared" si="3"/>
        <v>19071231</v>
      </c>
      <c r="E9">
        <f t="shared" si="4"/>
        <v>53</v>
      </c>
    </row>
    <row r="10" spans="1:5" x14ac:dyDescent="0.35">
      <c r="A10">
        <f t="shared" si="0"/>
        <v>3289</v>
      </c>
      <c r="B10">
        <f t="shared" si="1"/>
        <v>28</v>
      </c>
      <c r="C10">
        <f t="shared" si="2"/>
        <v>653</v>
      </c>
      <c r="D10">
        <f t="shared" si="3"/>
        <v>19081231</v>
      </c>
      <c r="E10">
        <f t="shared" si="4"/>
        <v>52</v>
      </c>
    </row>
    <row r="11" spans="1:5" x14ac:dyDescent="0.35">
      <c r="A11">
        <f t="shared" si="0"/>
        <v>3654</v>
      </c>
      <c r="B11">
        <f t="shared" si="1"/>
        <v>28</v>
      </c>
      <c r="C11">
        <f t="shared" si="2"/>
        <v>752</v>
      </c>
      <c r="D11">
        <f t="shared" si="3"/>
        <v>19091231</v>
      </c>
      <c r="E11">
        <f t="shared" si="4"/>
        <v>52</v>
      </c>
    </row>
    <row r="12" spans="1:5" x14ac:dyDescent="0.35">
      <c r="A12">
        <f t="shared" si="0"/>
        <v>4019</v>
      </c>
      <c r="B12">
        <f t="shared" si="1"/>
        <v>28</v>
      </c>
      <c r="C12">
        <f t="shared" si="2"/>
        <v>152</v>
      </c>
      <c r="D12">
        <f t="shared" si="3"/>
        <v>19101231</v>
      </c>
      <c r="E12">
        <f t="shared" si="4"/>
        <v>52</v>
      </c>
    </row>
    <row r="13" spans="1:5" x14ac:dyDescent="0.35">
      <c r="A13">
        <f t="shared" si="0"/>
        <v>4384</v>
      </c>
      <c r="B13">
        <f t="shared" si="1"/>
        <v>29</v>
      </c>
      <c r="C13">
        <f t="shared" si="2"/>
        <v>201</v>
      </c>
      <c r="D13">
        <f t="shared" si="3"/>
        <v>19111231</v>
      </c>
      <c r="E13">
        <f t="shared" si="4"/>
        <v>1</v>
      </c>
    </row>
    <row r="14" spans="1:5" x14ac:dyDescent="0.35">
      <c r="A14">
        <f t="shared" si="0"/>
        <v>4750</v>
      </c>
      <c r="B14">
        <f t="shared" si="1"/>
        <v>28</v>
      </c>
      <c r="C14">
        <f t="shared" si="2"/>
        <v>401</v>
      </c>
      <c r="D14">
        <f t="shared" si="3"/>
        <v>19121231</v>
      </c>
      <c r="E14">
        <f t="shared" si="4"/>
        <v>1</v>
      </c>
    </row>
    <row r="15" spans="1:5" x14ac:dyDescent="0.35">
      <c r="A15">
        <f t="shared" si="0"/>
        <v>5115</v>
      </c>
      <c r="B15">
        <f t="shared" si="1"/>
        <v>28</v>
      </c>
      <c r="C15">
        <f t="shared" si="2"/>
        <v>501</v>
      </c>
      <c r="D15">
        <f t="shared" si="3"/>
        <v>19131231</v>
      </c>
      <c r="E15">
        <f t="shared" si="4"/>
        <v>53</v>
      </c>
    </row>
    <row r="16" spans="1:5" x14ac:dyDescent="0.35">
      <c r="A16">
        <f t="shared" si="0"/>
        <v>5480</v>
      </c>
      <c r="B16">
        <f t="shared" si="1"/>
        <v>28</v>
      </c>
      <c r="C16">
        <f t="shared" si="2"/>
        <v>653</v>
      </c>
      <c r="D16">
        <f t="shared" si="3"/>
        <v>19141231</v>
      </c>
      <c r="E16">
        <f t="shared" si="4"/>
        <v>52</v>
      </c>
    </row>
    <row r="17" spans="1:5" x14ac:dyDescent="0.35">
      <c r="A17">
        <f t="shared" si="0"/>
        <v>5845</v>
      </c>
      <c r="B17">
        <f t="shared" si="1"/>
        <v>29</v>
      </c>
      <c r="C17">
        <f t="shared" si="2"/>
        <v>752</v>
      </c>
      <c r="D17">
        <f t="shared" si="3"/>
        <v>19151231</v>
      </c>
      <c r="E17">
        <f t="shared" si="4"/>
        <v>52</v>
      </c>
    </row>
    <row r="18" spans="1:5" x14ac:dyDescent="0.35">
      <c r="A18">
        <f t="shared" si="0"/>
        <v>6211</v>
      </c>
      <c r="B18">
        <f t="shared" si="1"/>
        <v>28</v>
      </c>
      <c r="C18">
        <f t="shared" si="2"/>
        <v>201</v>
      </c>
      <c r="D18">
        <f t="shared" si="3"/>
        <v>19161231</v>
      </c>
      <c r="E18">
        <f t="shared" si="4"/>
        <v>1</v>
      </c>
    </row>
    <row r="19" spans="1:5" x14ac:dyDescent="0.35">
      <c r="A19">
        <f t="shared" si="0"/>
        <v>6576</v>
      </c>
      <c r="B19">
        <f t="shared" si="1"/>
        <v>28</v>
      </c>
      <c r="C19">
        <f t="shared" si="2"/>
        <v>301</v>
      </c>
      <c r="D19">
        <f t="shared" si="3"/>
        <v>19171231</v>
      </c>
      <c r="E19">
        <f t="shared" si="4"/>
        <v>1</v>
      </c>
    </row>
    <row r="20" spans="1:5" x14ac:dyDescent="0.35">
      <c r="A20">
        <f t="shared" si="0"/>
        <v>6941</v>
      </c>
      <c r="B20">
        <f t="shared" si="1"/>
        <v>28</v>
      </c>
      <c r="C20">
        <f t="shared" si="2"/>
        <v>401</v>
      </c>
      <c r="D20">
        <f t="shared" si="3"/>
        <v>19181231</v>
      </c>
      <c r="E20">
        <f t="shared" si="4"/>
        <v>1</v>
      </c>
    </row>
    <row r="21" spans="1:5" x14ac:dyDescent="0.35">
      <c r="A21">
        <f t="shared" si="0"/>
        <v>7306</v>
      </c>
      <c r="B21">
        <f t="shared" si="1"/>
        <v>29</v>
      </c>
      <c r="C21">
        <f t="shared" si="2"/>
        <v>501</v>
      </c>
      <c r="D21">
        <f t="shared" si="3"/>
        <v>19191231</v>
      </c>
      <c r="E21">
        <f t="shared" si="4"/>
        <v>53</v>
      </c>
    </row>
    <row r="22" spans="1:5" x14ac:dyDescent="0.35">
      <c r="A22">
        <f t="shared" si="0"/>
        <v>7672</v>
      </c>
      <c r="B22">
        <f t="shared" si="1"/>
        <v>28</v>
      </c>
      <c r="C22">
        <f t="shared" si="2"/>
        <v>753</v>
      </c>
      <c r="D22">
        <f t="shared" si="3"/>
        <v>19201231</v>
      </c>
      <c r="E22">
        <f t="shared" si="4"/>
        <v>52</v>
      </c>
    </row>
    <row r="23" spans="1:5" x14ac:dyDescent="0.35">
      <c r="A23">
        <f t="shared" si="0"/>
        <v>8037</v>
      </c>
      <c r="B23">
        <f t="shared" si="1"/>
        <v>28</v>
      </c>
      <c r="C23">
        <f t="shared" si="2"/>
        <v>152</v>
      </c>
      <c r="D23">
        <f t="shared" si="3"/>
        <v>19211231</v>
      </c>
      <c r="E23">
        <f t="shared" si="4"/>
        <v>52</v>
      </c>
    </row>
    <row r="24" spans="1:5" x14ac:dyDescent="0.35">
      <c r="A24">
        <f t="shared" si="0"/>
        <v>8402</v>
      </c>
      <c r="B24">
        <f t="shared" si="1"/>
        <v>28</v>
      </c>
      <c r="C24">
        <f t="shared" si="2"/>
        <v>201</v>
      </c>
      <c r="D24">
        <f t="shared" si="3"/>
        <v>19221231</v>
      </c>
      <c r="E24">
        <f t="shared" si="4"/>
        <v>1</v>
      </c>
    </row>
    <row r="25" spans="1:5" x14ac:dyDescent="0.35">
      <c r="A25">
        <f t="shared" si="0"/>
        <v>8767</v>
      </c>
      <c r="B25">
        <f t="shared" si="1"/>
        <v>29</v>
      </c>
      <c r="C25">
        <f t="shared" si="2"/>
        <v>301</v>
      </c>
      <c r="D25">
        <f t="shared" si="3"/>
        <v>19231231</v>
      </c>
      <c r="E25">
        <f t="shared" si="4"/>
        <v>1</v>
      </c>
    </row>
    <row r="26" spans="1:5" x14ac:dyDescent="0.35">
      <c r="A26">
        <f t="shared" si="0"/>
        <v>9133</v>
      </c>
      <c r="B26">
        <f t="shared" si="1"/>
        <v>28</v>
      </c>
      <c r="C26">
        <f t="shared" si="2"/>
        <v>501</v>
      </c>
      <c r="D26">
        <f t="shared" si="3"/>
        <v>19241231</v>
      </c>
      <c r="E26">
        <f t="shared" si="4"/>
        <v>53</v>
      </c>
    </row>
    <row r="27" spans="1:5" x14ac:dyDescent="0.35">
      <c r="A27">
        <f t="shared" si="0"/>
        <v>9498</v>
      </c>
      <c r="B27">
        <f t="shared" si="1"/>
        <v>28</v>
      </c>
      <c r="C27">
        <f t="shared" si="2"/>
        <v>653</v>
      </c>
      <c r="D27">
        <f t="shared" si="3"/>
        <v>19251231</v>
      </c>
      <c r="E27">
        <f t="shared" si="4"/>
        <v>52</v>
      </c>
    </row>
    <row r="28" spans="1:5" x14ac:dyDescent="0.35">
      <c r="A28">
        <f t="shared" si="0"/>
        <v>9863</v>
      </c>
      <c r="B28">
        <f t="shared" si="1"/>
        <v>28</v>
      </c>
      <c r="C28">
        <f t="shared" si="2"/>
        <v>752</v>
      </c>
      <c r="D28">
        <f t="shared" si="3"/>
        <v>19261231</v>
      </c>
      <c r="E28">
        <f t="shared" si="4"/>
        <v>52</v>
      </c>
    </row>
    <row r="29" spans="1:5" x14ac:dyDescent="0.35">
      <c r="A29">
        <f t="shared" si="0"/>
        <v>10228</v>
      </c>
      <c r="B29">
        <f t="shared" si="1"/>
        <v>29</v>
      </c>
      <c r="C29">
        <f t="shared" si="2"/>
        <v>152</v>
      </c>
      <c r="D29">
        <f t="shared" si="3"/>
        <v>19271231</v>
      </c>
      <c r="E29">
        <f t="shared" si="4"/>
        <v>1</v>
      </c>
    </row>
    <row r="30" spans="1:5" x14ac:dyDescent="0.35">
      <c r="A30">
        <f t="shared" si="0"/>
        <v>10594</v>
      </c>
      <c r="B30">
        <f t="shared" si="1"/>
        <v>28</v>
      </c>
      <c r="C30">
        <f t="shared" si="2"/>
        <v>301</v>
      </c>
      <c r="D30">
        <f t="shared" si="3"/>
        <v>19281231</v>
      </c>
      <c r="E30">
        <f t="shared" si="4"/>
        <v>1</v>
      </c>
    </row>
    <row r="31" spans="1:5" x14ac:dyDescent="0.35">
      <c r="A31">
        <f t="shared" si="0"/>
        <v>10959</v>
      </c>
      <c r="B31">
        <f t="shared" si="1"/>
        <v>28</v>
      </c>
      <c r="C31">
        <f t="shared" si="2"/>
        <v>401</v>
      </c>
      <c r="D31">
        <f t="shared" si="3"/>
        <v>19291231</v>
      </c>
      <c r="E31">
        <f t="shared" si="4"/>
        <v>1</v>
      </c>
    </row>
    <row r="32" spans="1:5" x14ac:dyDescent="0.35">
      <c r="A32">
        <f t="shared" si="0"/>
        <v>11324</v>
      </c>
      <c r="B32">
        <f t="shared" si="1"/>
        <v>28</v>
      </c>
      <c r="C32">
        <f t="shared" si="2"/>
        <v>501</v>
      </c>
      <c r="D32">
        <f t="shared" si="3"/>
        <v>19301231</v>
      </c>
      <c r="E32">
        <f t="shared" si="4"/>
        <v>53</v>
      </c>
    </row>
    <row r="33" spans="1:5" x14ac:dyDescent="0.35">
      <c r="A33">
        <f t="shared" si="0"/>
        <v>11689</v>
      </c>
      <c r="B33">
        <f t="shared" si="1"/>
        <v>29</v>
      </c>
      <c r="C33">
        <f t="shared" si="2"/>
        <v>653</v>
      </c>
      <c r="D33">
        <f t="shared" si="3"/>
        <v>19311231</v>
      </c>
      <c r="E33">
        <f t="shared" si="4"/>
        <v>52</v>
      </c>
    </row>
    <row r="34" spans="1:5" x14ac:dyDescent="0.35">
      <c r="A34">
        <f t="shared" si="0"/>
        <v>12055</v>
      </c>
      <c r="B34">
        <f t="shared" si="1"/>
        <v>28</v>
      </c>
      <c r="C34">
        <f t="shared" si="2"/>
        <v>152</v>
      </c>
      <c r="D34">
        <f t="shared" si="3"/>
        <v>19321231</v>
      </c>
      <c r="E34">
        <f t="shared" si="4"/>
        <v>52</v>
      </c>
    </row>
    <row r="35" spans="1:5" x14ac:dyDescent="0.35">
      <c r="A35">
        <f t="shared" si="0"/>
        <v>12420</v>
      </c>
      <c r="B35">
        <f t="shared" si="1"/>
        <v>28</v>
      </c>
      <c r="C35">
        <f t="shared" si="2"/>
        <v>201</v>
      </c>
      <c r="D35">
        <f t="shared" si="3"/>
        <v>19331231</v>
      </c>
      <c r="E35">
        <f t="shared" si="4"/>
        <v>1</v>
      </c>
    </row>
    <row r="36" spans="1:5" x14ac:dyDescent="0.35">
      <c r="A36">
        <f t="shared" si="0"/>
        <v>12785</v>
      </c>
      <c r="B36">
        <f t="shared" si="1"/>
        <v>28</v>
      </c>
      <c r="C36">
        <f t="shared" si="2"/>
        <v>301</v>
      </c>
      <c r="D36">
        <f t="shared" si="3"/>
        <v>19341231</v>
      </c>
      <c r="E36">
        <f t="shared" si="4"/>
        <v>1</v>
      </c>
    </row>
    <row r="37" spans="1:5" x14ac:dyDescent="0.35">
      <c r="A37">
        <f t="shared" si="0"/>
        <v>13150</v>
      </c>
      <c r="B37">
        <f t="shared" si="1"/>
        <v>29</v>
      </c>
      <c r="C37">
        <f t="shared" si="2"/>
        <v>401</v>
      </c>
      <c r="D37">
        <f t="shared" si="3"/>
        <v>19351231</v>
      </c>
      <c r="E37">
        <f t="shared" si="4"/>
        <v>53</v>
      </c>
    </row>
    <row r="38" spans="1:5" x14ac:dyDescent="0.35">
      <c r="A38">
        <f t="shared" si="0"/>
        <v>13516</v>
      </c>
      <c r="B38">
        <f t="shared" si="1"/>
        <v>28</v>
      </c>
      <c r="C38">
        <f t="shared" si="2"/>
        <v>653</v>
      </c>
      <c r="D38">
        <f t="shared" si="3"/>
        <v>19361231</v>
      </c>
      <c r="E38">
        <f t="shared" si="4"/>
        <v>52</v>
      </c>
    </row>
    <row r="39" spans="1:5" x14ac:dyDescent="0.35">
      <c r="A39">
        <f t="shared" si="0"/>
        <v>13881</v>
      </c>
      <c r="B39">
        <f t="shared" si="1"/>
        <v>28</v>
      </c>
      <c r="C39">
        <f t="shared" si="2"/>
        <v>752</v>
      </c>
      <c r="D39">
        <f t="shared" si="3"/>
        <v>19371231</v>
      </c>
      <c r="E39">
        <f t="shared" si="4"/>
        <v>52</v>
      </c>
    </row>
    <row r="40" spans="1:5" x14ac:dyDescent="0.35">
      <c r="A40">
        <f t="shared" si="0"/>
        <v>14246</v>
      </c>
      <c r="B40">
        <f t="shared" si="1"/>
        <v>28</v>
      </c>
      <c r="C40">
        <f t="shared" si="2"/>
        <v>152</v>
      </c>
      <c r="D40">
        <f t="shared" si="3"/>
        <v>19381231</v>
      </c>
      <c r="E40">
        <f t="shared" si="4"/>
        <v>52</v>
      </c>
    </row>
    <row r="41" spans="1:5" x14ac:dyDescent="0.35">
      <c r="A41">
        <f t="shared" si="0"/>
        <v>14611</v>
      </c>
      <c r="B41">
        <f t="shared" si="1"/>
        <v>29</v>
      </c>
      <c r="C41">
        <f t="shared" si="2"/>
        <v>201</v>
      </c>
      <c r="D41">
        <f t="shared" si="3"/>
        <v>19391231</v>
      </c>
      <c r="E41">
        <f t="shared" si="4"/>
        <v>1</v>
      </c>
    </row>
    <row r="42" spans="1:5" x14ac:dyDescent="0.35">
      <c r="A42">
        <f t="shared" si="0"/>
        <v>14977</v>
      </c>
      <c r="B42">
        <f t="shared" si="1"/>
        <v>28</v>
      </c>
      <c r="C42">
        <f t="shared" si="2"/>
        <v>401</v>
      </c>
      <c r="D42">
        <f t="shared" si="3"/>
        <v>19401231</v>
      </c>
      <c r="E42">
        <f t="shared" si="4"/>
        <v>1</v>
      </c>
    </row>
    <row r="43" spans="1:5" x14ac:dyDescent="0.35">
      <c r="A43">
        <f t="shared" si="0"/>
        <v>15342</v>
      </c>
      <c r="B43">
        <f t="shared" si="1"/>
        <v>28</v>
      </c>
      <c r="C43">
        <f t="shared" si="2"/>
        <v>501</v>
      </c>
      <c r="D43">
        <f t="shared" si="3"/>
        <v>19411231</v>
      </c>
      <c r="E43">
        <f t="shared" si="4"/>
        <v>53</v>
      </c>
    </row>
    <row r="44" spans="1:5" x14ac:dyDescent="0.35">
      <c r="A44">
        <f t="shared" si="0"/>
        <v>15707</v>
      </c>
      <c r="B44">
        <f t="shared" si="1"/>
        <v>28</v>
      </c>
      <c r="C44">
        <f t="shared" si="2"/>
        <v>653</v>
      </c>
      <c r="D44">
        <f t="shared" si="3"/>
        <v>19421231</v>
      </c>
      <c r="E44">
        <f t="shared" si="4"/>
        <v>52</v>
      </c>
    </row>
    <row r="45" spans="1:5" x14ac:dyDescent="0.35">
      <c r="A45">
        <f t="shared" si="0"/>
        <v>16072</v>
      </c>
      <c r="B45">
        <f t="shared" si="1"/>
        <v>29</v>
      </c>
      <c r="C45">
        <f t="shared" si="2"/>
        <v>752</v>
      </c>
      <c r="D45">
        <f t="shared" si="3"/>
        <v>19431231</v>
      </c>
      <c r="E45">
        <f t="shared" si="4"/>
        <v>52</v>
      </c>
    </row>
    <row r="46" spans="1:5" x14ac:dyDescent="0.35">
      <c r="A46">
        <f t="shared" si="0"/>
        <v>16438</v>
      </c>
      <c r="B46">
        <f t="shared" si="1"/>
        <v>28</v>
      </c>
      <c r="C46">
        <f t="shared" si="2"/>
        <v>201</v>
      </c>
      <c r="D46">
        <f t="shared" si="3"/>
        <v>19441231</v>
      </c>
      <c r="E46">
        <f t="shared" si="4"/>
        <v>1</v>
      </c>
    </row>
    <row r="47" spans="1:5" x14ac:dyDescent="0.35">
      <c r="A47">
        <f t="shared" si="0"/>
        <v>16803</v>
      </c>
      <c r="B47">
        <f t="shared" si="1"/>
        <v>28</v>
      </c>
      <c r="C47">
        <f t="shared" si="2"/>
        <v>301</v>
      </c>
      <c r="D47">
        <f t="shared" si="3"/>
        <v>19451231</v>
      </c>
      <c r="E47">
        <f t="shared" si="4"/>
        <v>1</v>
      </c>
    </row>
    <row r="48" spans="1:5" x14ac:dyDescent="0.35">
      <c r="A48">
        <f t="shared" si="0"/>
        <v>17168</v>
      </c>
      <c r="B48">
        <f t="shared" si="1"/>
        <v>28</v>
      </c>
      <c r="C48">
        <f t="shared" si="2"/>
        <v>401</v>
      </c>
      <c r="D48">
        <f t="shared" si="3"/>
        <v>19461231</v>
      </c>
      <c r="E48">
        <f t="shared" si="4"/>
        <v>1</v>
      </c>
    </row>
    <row r="49" spans="1:5" x14ac:dyDescent="0.35">
      <c r="A49">
        <f t="shared" si="0"/>
        <v>17533</v>
      </c>
      <c r="B49">
        <f t="shared" si="1"/>
        <v>29</v>
      </c>
      <c r="C49">
        <f t="shared" si="2"/>
        <v>501</v>
      </c>
      <c r="D49">
        <f t="shared" si="3"/>
        <v>19471231</v>
      </c>
      <c r="E49">
        <f t="shared" si="4"/>
        <v>53</v>
      </c>
    </row>
    <row r="50" spans="1:5" x14ac:dyDescent="0.35">
      <c r="A50">
        <f t="shared" si="0"/>
        <v>17899</v>
      </c>
      <c r="B50">
        <f t="shared" si="1"/>
        <v>28</v>
      </c>
      <c r="C50">
        <f t="shared" si="2"/>
        <v>753</v>
      </c>
      <c r="D50">
        <f t="shared" si="3"/>
        <v>19481231</v>
      </c>
      <c r="E50">
        <f t="shared" si="4"/>
        <v>52</v>
      </c>
    </row>
    <row r="51" spans="1:5" x14ac:dyDescent="0.35">
      <c r="A51">
        <f t="shared" si="0"/>
        <v>18264</v>
      </c>
      <c r="B51">
        <f t="shared" si="1"/>
        <v>28</v>
      </c>
      <c r="C51">
        <f t="shared" si="2"/>
        <v>152</v>
      </c>
      <c r="D51">
        <f t="shared" si="3"/>
        <v>19491231</v>
      </c>
      <c r="E51">
        <f t="shared" si="4"/>
        <v>52</v>
      </c>
    </row>
    <row r="52" spans="1:5" x14ac:dyDescent="0.35">
      <c r="A52">
        <f t="shared" si="0"/>
        <v>18629</v>
      </c>
      <c r="B52">
        <f t="shared" si="1"/>
        <v>28</v>
      </c>
      <c r="C52">
        <f t="shared" si="2"/>
        <v>201</v>
      </c>
      <c r="D52">
        <f t="shared" si="3"/>
        <v>19501231</v>
      </c>
      <c r="E52">
        <f t="shared" si="4"/>
        <v>1</v>
      </c>
    </row>
    <row r="53" spans="1:5" x14ac:dyDescent="0.35">
      <c r="A53">
        <f t="shared" si="0"/>
        <v>18994</v>
      </c>
      <c r="B53">
        <f t="shared" si="1"/>
        <v>29</v>
      </c>
      <c r="C53">
        <f t="shared" si="2"/>
        <v>301</v>
      </c>
      <c r="D53">
        <f t="shared" si="3"/>
        <v>19511231</v>
      </c>
      <c r="E53">
        <f t="shared" si="4"/>
        <v>1</v>
      </c>
    </row>
    <row r="54" spans="1:5" x14ac:dyDescent="0.35">
      <c r="A54">
        <f t="shared" si="0"/>
        <v>19360</v>
      </c>
      <c r="B54">
        <f t="shared" si="1"/>
        <v>28</v>
      </c>
      <c r="C54">
        <f t="shared" si="2"/>
        <v>501</v>
      </c>
      <c r="D54">
        <f t="shared" si="3"/>
        <v>19521231</v>
      </c>
      <c r="E54">
        <f t="shared" si="4"/>
        <v>53</v>
      </c>
    </row>
    <row r="55" spans="1:5" x14ac:dyDescent="0.35">
      <c r="A55">
        <f t="shared" si="0"/>
        <v>19725</v>
      </c>
      <c r="B55">
        <f t="shared" si="1"/>
        <v>28</v>
      </c>
      <c r="C55">
        <f t="shared" si="2"/>
        <v>653</v>
      </c>
      <c r="D55">
        <f t="shared" si="3"/>
        <v>19531231</v>
      </c>
      <c r="E55">
        <f t="shared" si="4"/>
        <v>52</v>
      </c>
    </row>
    <row r="56" spans="1:5" x14ac:dyDescent="0.35">
      <c r="A56">
        <f t="shared" si="0"/>
        <v>20090</v>
      </c>
      <c r="B56">
        <f t="shared" si="1"/>
        <v>28</v>
      </c>
      <c r="C56">
        <f t="shared" si="2"/>
        <v>752</v>
      </c>
      <c r="D56">
        <f t="shared" si="3"/>
        <v>19541231</v>
      </c>
      <c r="E56">
        <f t="shared" si="4"/>
        <v>52</v>
      </c>
    </row>
    <row r="57" spans="1:5" x14ac:dyDescent="0.35">
      <c r="A57">
        <f t="shared" si="0"/>
        <v>20455</v>
      </c>
      <c r="B57">
        <f t="shared" si="1"/>
        <v>29</v>
      </c>
      <c r="C57">
        <f t="shared" si="2"/>
        <v>152</v>
      </c>
      <c r="D57">
        <f t="shared" si="3"/>
        <v>19551231</v>
      </c>
      <c r="E57">
        <f t="shared" si="4"/>
        <v>1</v>
      </c>
    </row>
    <row r="58" spans="1:5" x14ac:dyDescent="0.35">
      <c r="A58">
        <f t="shared" si="0"/>
        <v>20821</v>
      </c>
      <c r="B58">
        <f t="shared" si="1"/>
        <v>28</v>
      </c>
      <c r="C58">
        <f t="shared" si="2"/>
        <v>301</v>
      </c>
      <c r="D58">
        <f t="shared" si="3"/>
        <v>19561231</v>
      </c>
      <c r="E58">
        <f t="shared" si="4"/>
        <v>1</v>
      </c>
    </row>
    <row r="59" spans="1:5" x14ac:dyDescent="0.35">
      <c r="A59">
        <f t="shared" si="0"/>
        <v>21186</v>
      </c>
      <c r="B59">
        <f t="shared" si="1"/>
        <v>28</v>
      </c>
      <c r="C59">
        <f t="shared" si="2"/>
        <v>401</v>
      </c>
      <c r="D59">
        <f t="shared" si="3"/>
        <v>19571231</v>
      </c>
      <c r="E59">
        <f t="shared" si="4"/>
        <v>1</v>
      </c>
    </row>
    <row r="60" spans="1:5" x14ac:dyDescent="0.35">
      <c r="A60">
        <f t="shared" si="0"/>
        <v>21551</v>
      </c>
      <c r="B60">
        <f t="shared" si="1"/>
        <v>28</v>
      </c>
      <c r="C60">
        <f t="shared" si="2"/>
        <v>501</v>
      </c>
      <c r="D60">
        <f t="shared" si="3"/>
        <v>19581231</v>
      </c>
      <c r="E60">
        <f t="shared" si="4"/>
        <v>53</v>
      </c>
    </row>
    <row r="61" spans="1:5" x14ac:dyDescent="0.35">
      <c r="A61">
        <f t="shared" si="0"/>
        <v>21916</v>
      </c>
      <c r="B61">
        <f t="shared" si="1"/>
        <v>29</v>
      </c>
      <c r="C61">
        <f t="shared" si="2"/>
        <v>653</v>
      </c>
      <c r="D61">
        <f t="shared" si="3"/>
        <v>19591231</v>
      </c>
      <c r="E61">
        <f t="shared" si="4"/>
        <v>52</v>
      </c>
    </row>
    <row r="62" spans="1:5" x14ac:dyDescent="0.35">
      <c r="A62">
        <f t="shared" si="0"/>
        <v>22282</v>
      </c>
      <c r="B62">
        <f t="shared" si="1"/>
        <v>28</v>
      </c>
      <c r="C62">
        <f t="shared" si="2"/>
        <v>152</v>
      </c>
      <c r="D62">
        <f t="shared" si="3"/>
        <v>19601231</v>
      </c>
      <c r="E62">
        <f t="shared" si="4"/>
        <v>52</v>
      </c>
    </row>
    <row r="63" spans="1:5" x14ac:dyDescent="0.35">
      <c r="A63">
        <f t="shared" si="0"/>
        <v>22647</v>
      </c>
      <c r="B63">
        <f t="shared" si="1"/>
        <v>28</v>
      </c>
      <c r="C63">
        <f t="shared" si="2"/>
        <v>201</v>
      </c>
      <c r="D63">
        <f t="shared" si="3"/>
        <v>19611231</v>
      </c>
      <c r="E63">
        <f t="shared" si="4"/>
        <v>1</v>
      </c>
    </row>
    <row r="64" spans="1:5" x14ac:dyDescent="0.35">
      <c r="A64">
        <f t="shared" si="0"/>
        <v>23012</v>
      </c>
      <c r="B64">
        <f t="shared" si="1"/>
        <v>28</v>
      </c>
      <c r="C64">
        <f t="shared" si="2"/>
        <v>301</v>
      </c>
      <c r="D64">
        <f t="shared" si="3"/>
        <v>19621231</v>
      </c>
      <c r="E64">
        <f t="shared" si="4"/>
        <v>1</v>
      </c>
    </row>
    <row r="65" spans="1:5" x14ac:dyDescent="0.35">
      <c r="A65">
        <f t="shared" si="0"/>
        <v>23377</v>
      </c>
      <c r="B65">
        <f t="shared" si="1"/>
        <v>29</v>
      </c>
      <c r="C65">
        <f t="shared" si="2"/>
        <v>401</v>
      </c>
      <c r="D65">
        <f t="shared" si="3"/>
        <v>19631231</v>
      </c>
      <c r="E65">
        <f t="shared" si="4"/>
        <v>53</v>
      </c>
    </row>
    <row r="66" spans="1:5" x14ac:dyDescent="0.35">
      <c r="A66">
        <f t="shared" si="0"/>
        <v>23743</v>
      </c>
      <c r="B66">
        <f t="shared" si="1"/>
        <v>28</v>
      </c>
      <c r="C66">
        <f t="shared" si="2"/>
        <v>653</v>
      </c>
      <c r="D66">
        <f t="shared" si="3"/>
        <v>19641231</v>
      </c>
      <c r="E66">
        <f t="shared" si="4"/>
        <v>52</v>
      </c>
    </row>
    <row r="67" spans="1:5" x14ac:dyDescent="0.35">
      <c r="A67">
        <f t="shared" si="0"/>
        <v>24108</v>
      </c>
      <c r="B67">
        <f t="shared" si="1"/>
        <v>28</v>
      </c>
      <c r="C67">
        <f t="shared" si="2"/>
        <v>752</v>
      </c>
      <c r="D67">
        <f t="shared" si="3"/>
        <v>19651231</v>
      </c>
      <c r="E67">
        <f t="shared" si="4"/>
        <v>52</v>
      </c>
    </row>
    <row r="68" spans="1:5" x14ac:dyDescent="0.35">
      <c r="A68">
        <f t="shared" si="0"/>
        <v>24473</v>
      </c>
      <c r="B68">
        <f t="shared" si="1"/>
        <v>28</v>
      </c>
      <c r="C68">
        <f t="shared" si="2"/>
        <v>152</v>
      </c>
      <c r="D68">
        <f t="shared" si="3"/>
        <v>19661231</v>
      </c>
      <c r="E68">
        <f t="shared" si="4"/>
        <v>52</v>
      </c>
    </row>
    <row r="69" spans="1:5" x14ac:dyDescent="0.35">
      <c r="A69">
        <f t="shared" si="0"/>
        <v>24838</v>
      </c>
      <c r="B69">
        <f t="shared" si="1"/>
        <v>29</v>
      </c>
      <c r="C69">
        <f t="shared" si="2"/>
        <v>201</v>
      </c>
      <c r="D69">
        <f t="shared" si="3"/>
        <v>19671231</v>
      </c>
      <c r="E69">
        <f t="shared" si="4"/>
        <v>1</v>
      </c>
    </row>
    <row r="70" spans="1:5" x14ac:dyDescent="0.35">
      <c r="A70">
        <f t="shared" si="0"/>
        <v>25204</v>
      </c>
      <c r="B70">
        <f t="shared" si="1"/>
        <v>28</v>
      </c>
      <c r="C70">
        <f t="shared" si="2"/>
        <v>401</v>
      </c>
      <c r="D70">
        <f t="shared" si="3"/>
        <v>19681231</v>
      </c>
      <c r="E70">
        <f t="shared" si="4"/>
        <v>1</v>
      </c>
    </row>
    <row r="71" spans="1:5" x14ac:dyDescent="0.35">
      <c r="A71">
        <f t="shared" si="0"/>
        <v>25569</v>
      </c>
      <c r="B71">
        <f t="shared" si="1"/>
        <v>28</v>
      </c>
      <c r="C71">
        <f t="shared" si="2"/>
        <v>501</v>
      </c>
      <c r="D71">
        <f t="shared" si="3"/>
        <v>19691231</v>
      </c>
      <c r="E71">
        <f t="shared" si="4"/>
        <v>53</v>
      </c>
    </row>
    <row r="72" spans="1:5" x14ac:dyDescent="0.35">
      <c r="A72">
        <f t="shared" si="0"/>
        <v>25934</v>
      </c>
      <c r="B72">
        <f t="shared" si="1"/>
        <v>28</v>
      </c>
      <c r="C72">
        <f t="shared" si="2"/>
        <v>653</v>
      </c>
      <c r="D72">
        <f t="shared" si="3"/>
        <v>19701231</v>
      </c>
      <c r="E72">
        <f t="shared" si="4"/>
        <v>52</v>
      </c>
    </row>
    <row r="73" spans="1:5" x14ac:dyDescent="0.35">
      <c r="A73">
        <f t="shared" si="0"/>
        <v>26299</v>
      </c>
      <c r="B73">
        <f t="shared" si="1"/>
        <v>29</v>
      </c>
      <c r="C73">
        <f t="shared" si="2"/>
        <v>752</v>
      </c>
      <c r="D73">
        <f t="shared" si="3"/>
        <v>19711231</v>
      </c>
      <c r="E73">
        <f t="shared" si="4"/>
        <v>52</v>
      </c>
    </row>
    <row r="74" spans="1:5" x14ac:dyDescent="0.35">
      <c r="A74">
        <f t="shared" si="0"/>
        <v>26665</v>
      </c>
      <c r="B74">
        <f t="shared" si="1"/>
        <v>28</v>
      </c>
      <c r="C74">
        <f t="shared" si="2"/>
        <v>201</v>
      </c>
      <c r="D74">
        <f t="shared" si="3"/>
        <v>19721231</v>
      </c>
      <c r="E74">
        <f t="shared" si="4"/>
        <v>1</v>
      </c>
    </row>
    <row r="75" spans="1:5" x14ac:dyDescent="0.35">
      <c r="A75">
        <f t="shared" si="0"/>
        <v>27030</v>
      </c>
      <c r="B75">
        <f t="shared" si="1"/>
        <v>28</v>
      </c>
      <c r="C75">
        <f t="shared" si="2"/>
        <v>301</v>
      </c>
      <c r="D75">
        <f t="shared" si="3"/>
        <v>19731231</v>
      </c>
      <c r="E75">
        <f t="shared" si="4"/>
        <v>1</v>
      </c>
    </row>
    <row r="76" spans="1:5" x14ac:dyDescent="0.35">
      <c r="A76">
        <f t="shared" si="0"/>
        <v>27395</v>
      </c>
      <c r="B76">
        <f t="shared" si="1"/>
        <v>28</v>
      </c>
      <c r="C76">
        <f t="shared" si="2"/>
        <v>401</v>
      </c>
      <c r="D76">
        <f t="shared" si="3"/>
        <v>19741231</v>
      </c>
      <c r="E76">
        <f t="shared" si="4"/>
        <v>1</v>
      </c>
    </row>
    <row r="77" spans="1:5" x14ac:dyDescent="0.35">
      <c r="A77">
        <f t="shared" si="0"/>
        <v>27760</v>
      </c>
      <c r="B77">
        <f t="shared" si="1"/>
        <v>29</v>
      </c>
      <c r="C77">
        <f t="shared" si="2"/>
        <v>501</v>
      </c>
      <c r="D77">
        <f t="shared" si="3"/>
        <v>19751231</v>
      </c>
      <c r="E77">
        <f t="shared" si="4"/>
        <v>53</v>
      </c>
    </row>
    <row r="78" spans="1:5" x14ac:dyDescent="0.35">
      <c r="A78">
        <f t="shared" si="0"/>
        <v>28126</v>
      </c>
      <c r="B78">
        <f t="shared" si="1"/>
        <v>28</v>
      </c>
      <c r="C78">
        <f t="shared" si="2"/>
        <v>753</v>
      </c>
      <c r="D78">
        <f t="shared" si="3"/>
        <v>19761231</v>
      </c>
      <c r="E78">
        <f t="shared" si="4"/>
        <v>52</v>
      </c>
    </row>
    <row r="79" spans="1:5" x14ac:dyDescent="0.35">
      <c r="A79">
        <f t="shared" si="0"/>
        <v>28491</v>
      </c>
      <c r="B79">
        <f t="shared" si="1"/>
        <v>28</v>
      </c>
      <c r="C79">
        <f t="shared" si="2"/>
        <v>152</v>
      </c>
      <c r="D79">
        <f t="shared" si="3"/>
        <v>19771231</v>
      </c>
      <c r="E79">
        <f t="shared" si="4"/>
        <v>52</v>
      </c>
    </row>
    <row r="80" spans="1:5" x14ac:dyDescent="0.35">
      <c r="A80">
        <f t="shared" si="0"/>
        <v>28856</v>
      </c>
      <c r="B80">
        <f t="shared" si="1"/>
        <v>28</v>
      </c>
      <c r="C80">
        <f t="shared" si="2"/>
        <v>201</v>
      </c>
      <c r="D80">
        <f t="shared" si="3"/>
        <v>19781231</v>
      </c>
      <c r="E80">
        <f t="shared" si="4"/>
        <v>1</v>
      </c>
    </row>
    <row r="81" spans="1:5" x14ac:dyDescent="0.35">
      <c r="A81">
        <f t="shared" si="0"/>
        <v>29221</v>
      </c>
      <c r="B81">
        <f t="shared" si="1"/>
        <v>29</v>
      </c>
      <c r="C81">
        <f t="shared" si="2"/>
        <v>301</v>
      </c>
      <c r="D81">
        <f t="shared" si="3"/>
        <v>19791231</v>
      </c>
      <c r="E81">
        <f t="shared" si="4"/>
        <v>1</v>
      </c>
    </row>
    <row r="82" spans="1:5" x14ac:dyDescent="0.35">
      <c r="A82">
        <f t="shared" si="0"/>
        <v>29587</v>
      </c>
      <c r="B82">
        <f t="shared" si="1"/>
        <v>28</v>
      </c>
      <c r="C82">
        <f t="shared" si="2"/>
        <v>501</v>
      </c>
      <c r="D82">
        <f t="shared" si="3"/>
        <v>19801231</v>
      </c>
      <c r="E82">
        <f t="shared" si="4"/>
        <v>53</v>
      </c>
    </row>
    <row r="83" spans="1:5" x14ac:dyDescent="0.35">
      <c r="A83">
        <f t="shared" si="0"/>
        <v>29952</v>
      </c>
      <c r="B83">
        <f t="shared" si="1"/>
        <v>28</v>
      </c>
      <c r="C83">
        <f t="shared" si="2"/>
        <v>653</v>
      </c>
      <c r="D83">
        <f t="shared" si="3"/>
        <v>19811231</v>
      </c>
      <c r="E83">
        <f t="shared" si="4"/>
        <v>52</v>
      </c>
    </row>
    <row r="84" spans="1:5" x14ac:dyDescent="0.35">
      <c r="A84">
        <f t="shared" si="0"/>
        <v>30317</v>
      </c>
      <c r="B84">
        <f t="shared" si="1"/>
        <v>28</v>
      </c>
      <c r="C84">
        <f t="shared" si="2"/>
        <v>752</v>
      </c>
      <c r="D84">
        <f t="shared" si="3"/>
        <v>19821231</v>
      </c>
      <c r="E84">
        <f t="shared" si="4"/>
        <v>52</v>
      </c>
    </row>
    <row r="85" spans="1:5" x14ac:dyDescent="0.35">
      <c r="A85">
        <f t="shared" si="0"/>
        <v>30682</v>
      </c>
      <c r="B85">
        <f t="shared" si="1"/>
        <v>29</v>
      </c>
      <c r="C85">
        <f t="shared" si="2"/>
        <v>152</v>
      </c>
      <c r="D85">
        <f t="shared" si="3"/>
        <v>19831231</v>
      </c>
      <c r="E85">
        <f t="shared" si="4"/>
        <v>1</v>
      </c>
    </row>
    <row r="86" spans="1:5" x14ac:dyDescent="0.35">
      <c r="A86">
        <f t="shared" si="0"/>
        <v>31048</v>
      </c>
      <c r="B86">
        <f t="shared" si="1"/>
        <v>28</v>
      </c>
      <c r="C86">
        <f t="shared" si="2"/>
        <v>301</v>
      </c>
      <c r="D86">
        <f t="shared" si="3"/>
        <v>19841231</v>
      </c>
      <c r="E86">
        <f t="shared" si="4"/>
        <v>1</v>
      </c>
    </row>
    <row r="87" spans="1:5" x14ac:dyDescent="0.35">
      <c r="A87">
        <f t="shared" si="0"/>
        <v>31413</v>
      </c>
      <c r="B87">
        <f t="shared" si="1"/>
        <v>28</v>
      </c>
      <c r="C87">
        <f t="shared" si="2"/>
        <v>401</v>
      </c>
      <c r="D87">
        <f t="shared" si="3"/>
        <v>19851231</v>
      </c>
      <c r="E87">
        <f t="shared" si="4"/>
        <v>1</v>
      </c>
    </row>
    <row r="88" spans="1:5" x14ac:dyDescent="0.35">
      <c r="A88">
        <f t="shared" si="0"/>
        <v>31778</v>
      </c>
      <c r="B88">
        <f t="shared" si="1"/>
        <v>28</v>
      </c>
      <c r="C88">
        <f t="shared" si="2"/>
        <v>501</v>
      </c>
      <c r="D88">
        <f t="shared" si="3"/>
        <v>19861231</v>
      </c>
      <c r="E88">
        <f t="shared" si="4"/>
        <v>53</v>
      </c>
    </row>
    <row r="89" spans="1:5" x14ac:dyDescent="0.35">
      <c r="A89">
        <f t="shared" si="0"/>
        <v>32143</v>
      </c>
      <c r="B89">
        <f t="shared" si="1"/>
        <v>29</v>
      </c>
      <c r="C89">
        <f t="shared" si="2"/>
        <v>653</v>
      </c>
      <c r="D89">
        <f t="shared" si="3"/>
        <v>19871231</v>
      </c>
      <c r="E89">
        <f t="shared" si="4"/>
        <v>52</v>
      </c>
    </row>
    <row r="90" spans="1:5" x14ac:dyDescent="0.35">
      <c r="A90">
        <f t="shared" si="0"/>
        <v>32509</v>
      </c>
      <c r="B90">
        <f t="shared" si="1"/>
        <v>28</v>
      </c>
      <c r="C90">
        <f t="shared" si="2"/>
        <v>152</v>
      </c>
      <c r="D90">
        <f t="shared" si="3"/>
        <v>19881231</v>
      </c>
      <c r="E90">
        <f t="shared" si="4"/>
        <v>52</v>
      </c>
    </row>
    <row r="91" spans="1:5" x14ac:dyDescent="0.35">
      <c r="A91">
        <f t="shared" si="0"/>
        <v>32874</v>
      </c>
      <c r="B91">
        <f t="shared" si="1"/>
        <v>28</v>
      </c>
      <c r="C91">
        <f t="shared" si="2"/>
        <v>201</v>
      </c>
      <c r="D91">
        <f t="shared" si="3"/>
        <v>19891231</v>
      </c>
      <c r="E91">
        <f t="shared" si="4"/>
        <v>1</v>
      </c>
    </row>
    <row r="92" spans="1:5" x14ac:dyDescent="0.35">
      <c r="A92">
        <f t="shared" si="0"/>
        <v>33239</v>
      </c>
      <c r="B92">
        <f t="shared" si="1"/>
        <v>28</v>
      </c>
      <c r="C92">
        <f t="shared" si="2"/>
        <v>301</v>
      </c>
      <c r="D92">
        <f t="shared" si="3"/>
        <v>19901231</v>
      </c>
      <c r="E92">
        <f t="shared" si="4"/>
        <v>1</v>
      </c>
    </row>
    <row r="93" spans="1:5" x14ac:dyDescent="0.35">
      <c r="A93">
        <f t="shared" si="0"/>
        <v>33604</v>
      </c>
      <c r="B93">
        <f t="shared" si="1"/>
        <v>29</v>
      </c>
      <c r="C93">
        <f t="shared" si="2"/>
        <v>401</v>
      </c>
      <c r="D93">
        <f t="shared" si="3"/>
        <v>19911231</v>
      </c>
      <c r="E93">
        <f t="shared" si="4"/>
        <v>53</v>
      </c>
    </row>
    <row r="94" spans="1:5" x14ac:dyDescent="0.35">
      <c r="A94">
        <f t="shared" si="0"/>
        <v>33970</v>
      </c>
      <c r="B94">
        <f t="shared" si="1"/>
        <v>28</v>
      </c>
      <c r="C94">
        <f t="shared" si="2"/>
        <v>653</v>
      </c>
      <c r="D94">
        <f t="shared" si="3"/>
        <v>19921231</v>
      </c>
      <c r="E94">
        <f t="shared" si="4"/>
        <v>52</v>
      </c>
    </row>
    <row r="95" spans="1:5" x14ac:dyDescent="0.35">
      <c r="A95">
        <f t="shared" si="0"/>
        <v>34335</v>
      </c>
      <c r="B95">
        <f t="shared" si="1"/>
        <v>28</v>
      </c>
      <c r="C95">
        <f t="shared" si="2"/>
        <v>752</v>
      </c>
      <c r="D95">
        <f t="shared" si="3"/>
        <v>19931231</v>
      </c>
      <c r="E95">
        <f t="shared" si="4"/>
        <v>52</v>
      </c>
    </row>
    <row r="96" spans="1:5" x14ac:dyDescent="0.35">
      <c r="A96">
        <f t="shared" si="0"/>
        <v>34700</v>
      </c>
      <c r="B96">
        <f t="shared" si="1"/>
        <v>28</v>
      </c>
      <c r="C96">
        <f t="shared" si="2"/>
        <v>152</v>
      </c>
      <c r="D96">
        <f t="shared" si="3"/>
        <v>19941231</v>
      </c>
      <c r="E96">
        <f t="shared" si="4"/>
        <v>52</v>
      </c>
    </row>
    <row r="97" spans="1:5" x14ac:dyDescent="0.35">
      <c r="A97">
        <f t="shared" si="0"/>
        <v>35065</v>
      </c>
      <c r="B97">
        <f t="shared" si="1"/>
        <v>29</v>
      </c>
      <c r="C97">
        <f t="shared" si="2"/>
        <v>201</v>
      </c>
      <c r="D97">
        <f t="shared" si="3"/>
        <v>19951231</v>
      </c>
      <c r="E97">
        <f t="shared" si="4"/>
        <v>1</v>
      </c>
    </row>
    <row r="98" spans="1:5" x14ac:dyDescent="0.35">
      <c r="A98">
        <f t="shared" si="0"/>
        <v>35431</v>
      </c>
      <c r="B98">
        <f t="shared" si="1"/>
        <v>28</v>
      </c>
      <c r="C98">
        <f t="shared" si="2"/>
        <v>401</v>
      </c>
      <c r="D98">
        <f t="shared" si="3"/>
        <v>19961231</v>
      </c>
      <c r="E98">
        <f t="shared" si="4"/>
        <v>1</v>
      </c>
    </row>
    <row r="99" spans="1:5" x14ac:dyDescent="0.35">
      <c r="A99">
        <f t="shared" si="0"/>
        <v>35796</v>
      </c>
      <c r="B99">
        <f t="shared" si="1"/>
        <v>28</v>
      </c>
      <c r="C99">
        <f t="shared" si="2"/>
        <v>501</v>
      </c>
      <c r="D99">
        <f t="shared" si="3"/>
        <v>19971231</v>
      </c>
      <c r="E99">
        <f t="shared" si="4"/>
        <v>53</v>
      </c>
    </row>
    <row r="100" spans="1:5" x14ac:dyDescent="0.35">
      <c r="A100">
        <f t="shared" si="0"/>
        <v>36161</v>
      </c>
      <c r="B100">
        <f t="shared" si="1"/>
        <v>28</v>
      </c>
      <c r="C100">
        <f t="shared" si="2"/>
        <v>653</v>
      </c>
      <c r="D100">
        <f t="shared" si="3"/>
        <v>19981231</v>
      </c>
      <c r="E100">
        <f t="shared" si="4"/>
        <v>52</v>
      </c>
    </row>
    <row r="101" spans="1:5" x14ac:dyDescent="0.35">
      <c r="A101">
        <f t="shared" si="0"/>
        <v>36526</v>
      </c>
      <c r="B101">
        <f t="shared" si="1"/>
        <v>29</v>
      </c>
      <c r="C101">
        <f t="shared" si="2"/>
        <v>752</v>
      </c>
      <c r="D101">
        <f t="shared" si="3"/>
        <v>19991231</v>
      </c>
      <c r="E101">
        <f t="shared" si="4"/>
        <v>52</v>
      </c>
    </row>
    <row r="102" spans="1:5" x14ac:dyDescent="0.35">
      <c r="A102">
        <f t="shared" si="0"/>
        <v>36892</v>
      </c>
      <c r="B102">
        <f t="shared" si="1"/>
        <v>28</v>
      </c>
      <c r="C102">
        <f t="shared" si="2"/>
        <v>201</v>
      </c>
      <c r="D102">
        <f t="shared" si="3"/>
        <v>20001231</v>
      </c>
      <c r="E102">
        <f t="shared" si="4"/>
        <v>1</v>
      </c>
    </row>
    <row r="103" spans="1:5" x14ac:dyDescent="0.35">
      <c r="A103">
        <f t="shared" si="0"/>
        <v>37257</v>
      </c>
      <c r="B103">
        <f t="shared" si="1"/>
        <v>28</v>
      </c>
      <c r="C103">
        <f t="shared" si="2"/>
        <v>301</v>
      </c>
      <c r="D103">
        <f t="shared" si="3"/>
        <v>20011231</v>
      </c>
      <c r="E103">
        <f t="shared" si="4"/>
        <v>1</v>
      </c>
    </row>
    <row r="104" spans="1:5" x14ac:dyDescent="0.35">
      <c r="A104">
        <f t="shared" si="0"/>
        <v>37622</v>
      </c>
      <c r="B104">
        <f t="shared" si="1"/>
        <v>28</v>
      </c>
      <c r="C104">
        <f t="shared" si="2"/>
        <v>401</v>
      </c>
      <c r="D104">
        <f t="shared" si="3"/>
        <v>20021231</v>
      </c>
      <c r="E104">
        <f t="shared" si="4"/>
        <v>1</v>
      </c>
    </row>
    <row r="105" spans="1:5" x14ac:dyDescent="0.35">
      <c r="A105">
        <f t="shared" si="0"/>
        <v>37987</v>
      </c>
      <c r="B105">
        <f t="shared" si="1"/>
        <v>29</v>
      </c>
      <c r="C105">
        <f t="shared" si="2"/>
        <v>501</v>
      </c>
      <c r="D105">
        <f t="shared" si="3"/>
        <v>20031231</v>
      </c>
      <c r="E105">
        <f t="shared" si="4"/>
        <v>53</v>
      </c>
    </row>
    <row r="106" spans="1:5" x14ac:dyDescent="0.35">
      <c r="A106">
        <f t="shared" si="0"/>
        <v>38353</v>
      </c>
      <c r="B106">
        <f t="shared" si="1"/>
        <v>28</v>
      </c>
      <c r="C106">
        <f t="shared" si="2"/>
        <v>753</v>
      </c>
      <c r="D106">
        <f t="shared" si="3"/>
        <v>20041231</v>
      </c>
      <c r="E106">
        <f t="shared" si="4"/>
        <v>52</v>
      </c>
    </row>
    <row r="107" spans="1:5" x14ac:dyDescent="0.35">
      <c r="A107">
        <f t="shared" si="0"/>
        <v>38718</v>
      </c>
      <c r="B107">
        <f t="shared" si="1"/>
        <v>28</v>
      </c>
      <c r="C107">
        <f t="shared" si="2"/>
        <v>152</v>
      </c>
      <c r="D107">
        <f t="shared" si="3"/>
        <v>20051231</v>
      </c>
      <c r="E107">
        <f t="shared" si="4"/>
        <v>52</v>
      </c>
    </row>
    <row r="108" spans="1:5" x14ac:dyDescent="0.35">
      <c r="A108">
        <f t="shared" si="0"/>
        <v>39083</v>
      </c>
      <c r="B108">
        <f t="shared" si="1"/>
        <v>28</v>
      </c>
      <c r="C108">
        <f t="shared" si="2"/>
        <v>201</v>
      </c>
      <c r="D108">
        <f t="shared" si="3"/>
        <v>20061231</v>
      </c>
      <c r="E108">
        <f t="shared" si="4"/>
        <v>1</v>
      </c>
    </row>
    <row r="109" spans="1:5" x14ac:dyDescent="0.35">
      <c r="A109">
        <f t="shared" si="0"/>
        <v>39448</v>
      </c>
      <c r="B109">
        <f t="shared" si="1"/>
        <v>29</v>
      </c>
      <c r="C109">
        <f t="shared" si="2"/>
        <v>301</v>
      </c>
      <c r="D109">
        <f t="shared" si="3"/>
        <v>20071231</v>
      </c>
      <c r="E109">
        <f t="shared" si="4"/>
        <v>1</v>
      </c>
    </row>
    <row r="110" spans="1:5" x14ac:dyDescent="0.35">
      <c r="A110">
        <f t="shared" si="0"/>
        <v>39814</v>
      </c>
      <c r="B110">
        <f t="shared" si="1"/>
        <v>28</v>
      </c>
      <c r="C110">
        <f t="shared" si="2"/>
        <v>501</v>
      </c>
      <c r="D110">
        <f t="shared" si="3"/>
        <v>20081231</v>
      </c>
      <c r="E110">
        <f t="shared" si="4"/>
        <v>53</v>
      </c>
    </row>
    <row r="111" spans="1:5" x14ac:dyDescent="0.35">
      <c r="A111">
        <f t="shared" si="0"/>
        <v>40179</v>
      </c>
      <c r="B111">
        <f t="shared" si="1"/>
        <v>28</v>
      </c>
      <c r="C111">
        <f t="shared" si="2"/>
        <v>653</v>
      </c>
      <c r="D111">
        <f t="shared" si="3"/>
        <v>20091231</v>
      </c>
      <c r="E111">
        <f t="shared" si="4"/>
        <v>52</v>
      </c>
    </row>
    <row r="112" spans="1:5" x14ac:dyDescent="0.35">
      <c r="A112">
        <f t="shared" si="0"/>
        <v>40544</v>
      </c>
      <c r="B112">
        <f t="shared" si="1"/>
        <v>28</v>
      </c>
      <c r="C112">
        <f t="shared" si="2"/>
        <v>752</v>
      </c>
      <c r="D112">
        <f t="shared" si="3"/>
        <v>20101231</v>
      </c>
      <c r="E112">
        <f t="shared" si="4"/>
        <v>52</v>
      </c>
    </row>
    <row r="113" spans="1:5" x14ac:dyDescent="0.35">
      <c r="A113">
        <f t="shared" si="0"/>
        <v>40909</v>
      </c>
      <c r="B113">
        <f t="shared" si="1"/>
        <v>29</v>
      </c>
      <c r="C113">
        <f t="shared" si="2"/>
        <v>152</v>
      </c>
      <c r="D113">
        <f t="shared" si="3"/>
        <v>20111231</v>
      </c>
      <c r="E113">
        <f t="shared" si="4"/>
        <v>1</v>
      </c>
    </row>
    <row r="114" spans="1:5" x14ac:dyDescent="0.35">
      <c r="A114">
        <f t="shared" si="0"/>
        <v>41275</v>
      </c>
      <c r="B114">
        <f t="shared" si="1"/>
        <v>28</v>
      </c>
      <c r="C114">
        <f t="shared" si="2"/>
        <v>301</v>
      </c>
      <c r="D114">
        <f t="shared" si="3"/>
        <v>20121231</v>
      </c>
      <c r="E114">
        <f t="shared" si="4"/>
        <v>1</v>
      </c>
    </row>
    <row r="115" spans="1:5" x14ac:dyDescent="0.35">
      <c r="A115">
        <f t="shared" si="0"/>
        <v>41640</v>
      </c>
      <c r="B115">
        <f t="shared" si="1"/>
        <v>28</v>
      </c>
      <c r="C115">
        <f t="shared" si="2"/>
        <v>401</v>
      </c>
      <c r="D115">
        <f t="shared" si="3"/>
        <v>20131231</v>
      </c>
      <c r="E115">
        <f t="shared" si="4"/>
        <v>1</v>
      </c>
    </row>
    <row r="116" spans="1:5" x14ac:dyDescent="0.35">
      <c r="A116">
        <f t="shared" si="0"/>
        <v>42005</v>
      </c>
      <c r="B116">
        <f t="shared" si="1"/>
        <v>28</v>
      </c>
      <c r="C116">
        <f t="shared" si="2"/>
        <v>501</v>
      </c>
      <c r="D116">
        <f t="shared" si="3"/>
        <v>20141231</v>
      </c>
      <c r="E116">
        <f t="shared" si="4"/>
        <v>53</v>
      </c>
    </row>
    <row r="117" spans="1:5" x14ac:dyDescent="0.35">
      <c r="A117">
        <f t="shared" si="0"/>
        <v>42370</v>
      </c>
      <c r="B117">
        <f t="shared" si="1"/>
        <v>29</v>
      </c>
      <c r="C117">
        <f t="shared" si="2"/>
        <v>653</v>
      </c>
      <c r="D117">
        <f t="shared" si="3"/>
        <v>20151231</v>
      </c>
      <c r="E117">
        <f t="shared" si="4"/>
        <v>52</v>
      </c>
    </row>
    <row r="118" spans="1:5" x14ac:dyDescent="0.35">
      <c r="A118">
        <f t="shared" si="0"/>
        <v>42736</v>
      </c>
      <c r="B118">
        <f t="shared" si="1"/>
        <v>28</v>
      </c>
      <c r="C118">
        <f t="shared" si="2"/>
        <v>152</v>
      </c>
      <c r="D118">
        <f t="shared" si="3"/>
        <v>20161231</v>
      </c>
      <c r="E118">
        <f t="shared" si="4"/>
        <v>52</v>
      </c>
    </row>
    <row r="119" spans="1:5" x14ac:dyDescent="0.35">
      <c r="A119">
        <f t="shared" si="0"/>
        <v>43101</v>
      </c>
      <c r="B119">
        <f t="shared" si="1"/>
        <v>28</v>
      </c>
      <c r="C119">
        <f t="shared" si="2"/>
        <v>201</v>
      </c>
      <c r="D119">
        <f t="shared" si="3"/>
        <v>20171231</v>
      </c>
      <c r="E119">
        <f t="shared" si="4"/>
        <v>1</v>
      </c>
    </row>
    <row r="120" spans="1:5" x14ac:dyDescent="0.35">
      <c r="A120">
        <f t="shared" si="0"/>
        <v>43466</v>
      </c>
      <c r="B120">
        <f t="shared" si="1"/>
        <v>28</v>
      </c>
      <c r="C120">
        <f t="shared" si="2"/>
        <v>301</v>
      </c>
      <c r="D120">
        <f t="shared" si="3"/>
        <v>20181231</v>
      </c>
      <c r="E120">
        <f t="shared" si="4"/>
        <v>1</v>
      </c>
    </row>
    <row r="121" spans="1:5" x14ac:dyDescent="0.35">
      <c r="A121">
        <f t="shared" si="0"/>
        <v>43831</v>
      </c>
      <c r="B121">
        <f t="shared" si="1"/>
        <v>29</v>
      </c>
      <c r="C121">
        <f t="shared" si="2"/>
        <v>401</v>
      </c>
      <c r="D121">
        <f t="shared" si="3"/>
        <v>20191231</v>
      </c>
      <c r="E121">
        <f t="shared" si="4"/>
        <v>53</v>
      </c>
    </row>
    <row r="122" spans="1:5" x14ac:dyDescent="0.35">
      <c r="A122">
        <f t="shared" si="0"/>
        <v>44197</v>
      </c>
      <c r="B122">
        <f t="shared" si="1"/>
        <v>28</v>
      </c>
      <c r="C122">
        <f t="shared" si="2"/>
        <v>653</v>
      </c>
      <c r="D122">
        <f t="shared" si="3"/>
        <v>20201231</v>
      </c>
      <c r="E122">
        <f t="shared" si="4"/>
        <v>52</v>
      </c>
    </row>
    <row r="123" spans="1:5" x14ac:dyDescent="0.35">
      <c r="A123">
        <f t="shared" si="0"/>
        <v>44562</v>
      </c>
      <c r="B123">
        <f t="shared" si="1"/>
        <v>28</v>
      </c>
      <c r="C123">
        <f t="shared" si="2"/>
        <v>752</v>
      </c>
      <c r="D123">
        <f t="shared" si="3"/>
        <v>20211231</v>
      </c>
      <c r="E123">
        <f t="shared" si="4"/>
        <v>52</v>
      </c>
    </row>
    <row r="124" spans="1:5" x14ac:dyDescent="0.35">
      <c r="A124">
        <f t="shared" si="0"/>
        <v>44927</v>
      </c>
      <c r="B124">
        <f t="shared" si="1"/>
        <v>28</v>
      </c>
      <c r="C124">
        <f t="shared" si="2"/>
        <v>152</v>
      </c>
      <c r="D124">
        <f t="shared" si="3"/>
        <v>20221231</v>
      </c>
      <c r="E124">
        <f t="shared" si="4"/>
        <v>52</v>
      </c>
    </row>
    <row r="125" spans="1:5" x14ac:dyDescent="0.35">
      <c r="A125">
        <f t="shared" si="0"/>
        <v>45292</v>
      </c>
      <c r="B125">
        <f t="shared" si="1"/>
        <v>29</v>
      </c>
      <c r="C125">
        <f t="shared" si="2"/>
        <v>201</v>
      </c>
      <c r="D125">
        <f t="shared" si="3"/>
        <v>20231231</v>
      </c>
      <c r="E125">
        <f t="shared" si="4"/>
        <v>1</v>
      </c>
    </row>
    <row r="126" spans="1:5" x14ac:dyDescent="0.35">
      <c r="A126">
        <f t="shared" si="0"/>
        <v>45658</v>
      </c>
      <c r="B126">
        <f t="shared" si="1"/>
        <v>28</v>
      </c>
      <c r="C126">
        <f t="shared" si="2"/>
        <v>401</v>
      </c>
      <c r="D126">
        <f t="shared" si="3"/>
        <v>20241231</v>
      </c>
      <c r="E126">
        <f t="shared" si="4"/>
        <v>1</v>
      </c>
    </row>
    <row r="127" spans="1:5" x14ac:dyDescent="0.35">
      <c r="A127">
        <f t="shared" si="0"/>
        <v>46023</v>
      </c>
      <c r="B127">
        <f t="shared" si="1"/>
        <v>28</v>
      </c>
      <c r="C127">
        <f t="shared" si="2"/>
        <v>501</v>
      </c>
      <c r="D127">
        <f t="shared" si="3"/>
        <v>20251231</v>
      </c>
      <c r="E127">
        <f t="shared" si="4"/>
        <v>53</v>
      </c>
    </row>
    <row r="128" spans="1:5" x14ac:dyDescent="0.35">
      <c r="A128">
        <f t="shared" si="0"/>
        <v>46388</v>
      </c>
      <c r="B128">
        <f t="shared" si="1"/>
        <v>28</v>
      </c>
      <c r="C128">
        <f t="shared" si="2"/>
        <v>653</v>
      </c>
      <c r="D128">
        <f t="shared" si="3"/>
        <v>20261231</v>
      </c>
      <c r="E128">
        <f t="shared" si="4"/>
        <v>52</v>
      </c>
    </row>
    <row r="129" spans="1:5" x14ac:dyDescent="0.35">
      <c r="A129">
        <f t="shared" si="0"/>
        <v>46753</v>
      </c>
      <c r="B129">
        <f t="shared" si="1"/>
        <v>29</v>
      </c>
      <c r="C129">
        <f t="shared" si="2"/>
        <v>752</v>
      </c>
      <c r="D129">
        <f t="shared" si="3"/>
        <v>20271231</v>
      </c>
      <c r="E129">
        <f t="shared" si="4"/>
        <v>52</v>
      </c>
    </row>
    <row r="130" spans="1:5" x14ac:dyDescent="0.35">
      <c r="A130">
        <f t="shared" si="0"/>
        <v>47119</v>
      </c>
      <c r="B130">
        <f t="shared" si="1"/>
        <v>28</v>
      </c>
      <c r="C130">
        <f t="shared" si="2"/>
        <v>201</v>
      </c>
      <c r="D130">
        <f t="shared" si="3"/>
        <v>20281231</v>
      </c>
      <c r="E130">
        <f t="shared" si="4"/>
        <v>1</v>
      </c>
    </row>
    <row r="131" spans="1:5" x14ac:dyDescent="0.35">
      <c r="A131">
        <f t="shared" si="0"/>
        <v>47484</v>
      </c>
      <c r="B131">
        <f t="shared" si="1"/>
        <v>28</v>
      </c>
      <c r="C131">
        <f t="shared" si="2"/>
        <v>301</v>
      </c>
      <c r="D131">
        <f t="shared" si="3"/>
        <v>20291231</v>
      </c>
      <c r="E131">
        <f t="shared" si="4"/>
        <v>1</v>
      </c>
    </row>
    <row r="132" spans="1:5" x14ac:dyDescent="0.35">
      <c r="A132">
        <f t="shared" si="0"/>
        <v>47849</v>
      </c>
      <c r="B132">
        <f t="shared" si="1"/>
        <v>28</v>
      </c>
      <c r="C132">
        <f t="shared" si="2"/>
        <v>401</v>
      </c>
      <c r="D132">
        <f t="shared" si="3"/>
        <v>20301231</v>
      </c>
      <c r="E132">
        <f t="shared" si="4"/>
        <v>1</v>
      </c>
    </row>
    <row r="133" spans="1:5" x14ac:dyDescent="0.35">
      <c r="A133">
        <f t="shared" si="0"/>
        <v>48214</v>
      </c>
      <c r="B133">
        <f t="shared" si="1"/>
        <v>29</v>
      </c>
      <c r="C133">
        <f t="shared" si="2"/>
        <v>501</v>
      </c>
      <c r="D133">
        <f t="shared" si="3"/>
        <v>20311231</v>
      </c>
      <c r="E133">
        <f t="shared" si="4"/>
        <v>53</v>
      </c>
    </row>
    <row r="134" spans="1:5" x14ac:dyDescent="0.35">
      <c r="A134">
        <f t="shared" si="0"/>
        <v>48580</v>
      </c>
      <c r="B134">
        <f t="shared" si="1"/>
        <v>28</v>
      </c>
      <c r="C134">
        <f t="shared" si="2"/>
        <v>753</v>
      </c>
      <c r="D134">
        <f t="shared" si="3"/>
        <v>20321231</v>
      </c>
      <c r="E134">
        <f t="shared" si="4"/>
        <v>52</v>
      </c>
    </row>
    <row r="135" spans="1:5" x14ac:dyDescent="0.35">
      <c r="A135">
        <f t="shared" si="0"/>
        <v>48945</v>
      </c>
      <c r="B135">
        <f t="shared" si="1"/>
        <v>28</v>
      </c>
      <c r="C135">
        <f t="shared" si="2"/>
        <v>152</v>
      </c>
      <c r="D135">
        <f t="shared" si="3"/>
        <v>20331231</v>
      </c>
      <c r="E135">
        <f t="shared" si="4"/>
        <v>52</v>
      </c>
    </row>
    <row r="136" spans="1:5" x14ac:dyDescent="0.35">
      <c r="A136">
        <f t="shared" si="0"/>
        <v>49310</v>
      </c>
      <c r="B136">
        <f t="shared" si="1"/>
        <v>28</v>
      </c>
      <c r="C136">
        <f t="shared" si="2"/>
        <v>201</v>
      </c>
      <c r="D136">
        <f t="shared" si="3"/>
        <v>20341231</v>
      </c>
      <c r="E136">
        <f t="shared" si="4"/>
        <v>1</v>
      </c>
    </row>
    <row r="137" spans="1:5" x14ac:dyDescent="0.35">
      <c r="A137">
        <f t="shared" si="0"/>
        <v>49675</v>
      </c>
      <c r="B137">
        <f t="shared" si="1"/>
        <v>29</v>
      </c>
      <c r="C137">
        <f t="shared" si="2"/>
        <v>301</v>
      </c>
      <c r="D137">
        <f t="shared" si="3"/>
        <v>20351231</v>
      </c>
      <c r="E137">
        <f t="shared" si="4"/>
        <v>1</v>
      </c>
    </row>
    <row r="138" spans="1:5" x14ac:dyDescent="0.35">
      <c r="A138">
        <f t="shared" si="0"/>
        <v>50041</v>
      </c>
      <c r="B138">
        <f t="shared" si="1"/>
        <v>28</v>
      </c>
      <c r="C138">
        <f t="shared" si="2"/>
        <v>501</v>
      </c>
      <c r="D138">
        <f t="shared" si="3"/>
        <v>20361231</v>
      </c>
      <c r="E138">
        <f t="shared" si="4"/>
        <v>53</v>
      </c>
    </row>
    <row r="139" spans="1:5" x14ac:dyDescent="0.35">
      <c r="A139">
        <f t="shared" si="0"/>
        <v>50406</v>
      </c>
      <c r="B139">
        <f t="shared" si="1"/>
        <v>28</v>
      </c>
      <c r="C139">
        <f t="shared" si="2"/>
        <v>653</v>
      </c>
      <c r="D139">
        <f t="shared" si="3"/>
        <v>20371231</v>
      </c>
      <c r="E139">
        <f t="shared" si="4"/>
        <v>52</v>
      </c>
    </row>
    <row r="140" spans="1:5" x14ac:dyDescent="0.35">
      <c r="A140">
        <f t="shared" si="0"/>
        <v>50771</v>
      </c>
      <c r="B140">
        <f t="shared" si="1"/>
        <v>28</v>
      </c>
      <c r="C140">
        <f t="shared" si="2"/>
        <v>752</v>
      </c>
      <c r="D140">
        <f t="shared" si="3"/>
        <v>20381231</v>
      </c>
      <c r="E140">
        <f t="shared" si="4"/>
        <v>52</v>
      </c>
    </row>
    <row r="141" spans="1:5" x14ac:dyDescent="0.35">
      <c r="A141">
        <f t="shared" si="0"/>
        <v>51136</v>
      </c>
      <c r="B141">
        <f t="shared" si="1"/>
        <v>29</v>
      </c>
      <c r="C141">
        <f t="shared" si="2"/>
        <v>152</v>
      </c>
      <c r="D141">
        <f t="shared" si="3"/>
        <v>20391231</v>
      </c>
      <c r="E141">
        <f t="shared" si="4"/>
        <v>1</v>
      </c>
    </row>
    <row r="142" spans="1:5" x14ac:dyDescent="0.35">
      <c r="A142">
        <f t="shared" si="0"/>
        <v>51502</v>
      </c>
      <c r="B142">
        <f t="shared" si="1"/>
        <v>28</v>
      </c>
      <c r="C142">
        <f t="shared" si="2"/>
        <v>301</v>
      </c>
      <c r="D142">
        <f t="shared" si="3"/>
        <v>20401231</v>
      </c>
      <c r="E142">
        <f t="shared" si="4"/>
        <v>1</v>
      </c>
    </row>
    <row r="143" spans="1:5" x14ac:dyDescent="0.35">
      <c r="A143">
        <f t="shared" si="0"/>
        <v>51867</v>
      </c>
      <c r="B143">
        <f t="shared" si="1"/>
        <v>28</v>
      </c>
      <c r="C143">
        <f t="shared" si="2"/>
        <v>401</v>
      </c>
      <c r="D143">
        <f t="shared" si="3"/>
        <v>20411231</v>
      </c>
      <c r="E143">
        <f t="shared" si="4"/>
        <v>1</v>
      </c>
    </row>
    <row r="144" spans="1:5" x14ac:dyDescent="0.35">
      <c r="A144">
        <f t="shared" si="0"/>
        <v>52232</v>
      </c>
      <c r="B144">
        <f t="shared" si="1"/>
        <v>28</v>
      </c>
      <c r="C144">
        <f t="shared" si="2"/>
        <v>501</v>
      </c>
      <c r="D144">
        <f t="shared" si="3"/>
        <v>20421231</v>
      </c>
      <c r="E144">
        <f t="shared" si="4"/>
        <v>53</v>
      </c>
    </row>
    <row r="145" spans="1:5" x14ac:dyDescent="0.35">
      <c r="A145">
        <f t="shared" si="0"/>
        <v>52597</v>
      </c>
      <c r="B145">
        <f t="shared" si="1"/>
        <v>29</v>
      </c>
      <c r="C145">
        <f t="shared" si="2"/>
        <v>653</v>
      </c>
      <c r="D145">
        <f t="shared" si="3"/>
        <v>20431231</v>
      </c>
      <c r="E145">
        <f t="shared" si="4"/>
        <v>52</v>
      </c>
    </row>
    <row r="146" spans="1:5" x14ac:dyDescent="0.35">
      <c r="A146">
        <f t="shared" si="0"/>
        <v>52963</v>
      </c>
      <c r="B146">
        <f t="shared" si="1"/>
        <v>28</v>
      </c>
      <c r="C146">
        <f t="shared" si="2"/>
        <v>152</v>
      </c>
      <c r="D146">
        <f t="shared" si="3"/>
        <v>20441231</v>
      </c>
      <c r="E146">
        <f t="shared" si="4"/>
        <v>52</v>
      </c>
    </row>
    <row r="147" spans="1:5" x14ac:dyDescent="0.35">
      <c r="A147">
        <f t="shared" si="0"/>
        <v>53328</v>
      </c>
      <c r="B147">
        <f t="shared" si="1"/>
        <v>28</v>
      </c>
      <c r="C147">
        <f t="shared" si="2"/>
        <v>201</v>
      </c>
      <c r="D147">
        <f t="shared" si="3"/>
        <v>20451231</v>
      </c>
      <c r="E147">
        <f t="shared" si="4"/>
        <v>1</v>
      </c>
    </row>
    <row r="148" spans="1:5" x14ac:dyDescent="0.35">
      <c r="A148">
        <f t="shared" si="0"/>
        <v>53693</v>
      </c>
      <c r="B148">
        <f t="shared" si="1"/>
        <v>28</v>
      </c>
      <c r="C148">
        <f t="shared" si="2"/>
        <v>301</v>
      </c>
      <c r="D148">
        <f t="shared" si="3"/>
        <v>20461231</v>
      </c>
      <c r="E148">
        <f t="shared" si="4"/>
        <v>1</v>
      </c>
    </row>
    <row r="149" spans="1:5" x14ac:dyDescent="0.35">
      <c r="A149">
        <f t="shared" si="0"/>
        <v>54058</v>
      </c>
      <c r="B149">
        <f t="shared" si="1"/>
        <v>29</v>
      </c>
      <c r="C149">
        <f t="shared" si="2"/>
        <v>401</v>
      </c>
      <c r="D149">
        <f t="shared" si="3"/>
        <v>20471231</v>
      </c>
      <c r="E149">
        <f t="shared" si="4"/>
        <v>53</v>
      </c>
    </row>
    <row r="150" spans="1:5" x14ac:dyDescent="0.35">
      <c r="A150">
        <f t="shared" si="0"/>
        <v>54424</v>
      </c>
      <c r="B150">
        <f t="shared" si="1"/>
        <v>28</v>
      </c>
      <c r="C150">
        <f t="shared" si="2"/>
        <v>653</v>
      </c>
      <c r="D150">
        <f t="shared" si="3"/>
        <v>20481231</v>
      </c>
      <c r="E150">
        <f t="shared" si="4"/>
        <v>52</v>
      </c>
    </row>
    <row r="151" spans="1:5" x14ac:dyDescent="0.35">
      <c r="A151">
        <f t="shared" si="0"/>
        <v>54789</v>
      </c>
      <c r="B151">
        <f t="shared" si="1"/>
        <v>28</v>
      </c>
      <c r="C151">
        <f t="shared" si="2"/>
        <v>752</v>
      </c>
      <c r="D151">
        <f t="shared" si="3"/>
        <v>20491231</v>
      </c>
      <c r="E151">
        <f t="shared" si="4"/>
        <v>52</v>
      </c>
    </row>
    <row r="152" spans="1:5" x14ac:dyDescent="0.35">
      <c r="A152">
        <f t="shared" si="0"/>
        <v>55154</v>
      </c>
      <c r="B152">
        <f t="shared" si="1"/>
        <v>28</v>
      </c>
      <c r="C152">
        <f t="shared" si="2"/>
        <v>152</v>
      </c>
      <c r="D152">
        <f t="shared" si="3"/>
        <v>20501231</v>
      </c>
      <c r="E152">
        <f t="shared" si="4"/>
        <v>52</v>
      </c>
    </row>
    <row r="153" spans="1:5" x14ac:dyDescent="0.35">
      <c r="A153">
        <f t="shared" si="0"/>
        <v>55519</v>
      </c>
      <c r="B153">
        <f t="shared" si="1"/>
        <v>29</v>
      </c>
      <c r="C153">
        <f t="shared" si="2"/>
        <v>201</v>
      </c>
      <c r="D153">
        <f t="shared" si="3"/>
        <v>20511231</v>
      </c>
      <c r="E153">
        <f t="shared" si="4"/>
        <v>1</v>
      </c>
    </row>
    <row r="154" spans="1:5" x14ac:dyDescent="0.35">
      <c r="A154">
        <f t="shared" si="0"/>
        <v>55885</v>
      </c>
      <c r="B154">
        <f t="shared" si="1"/>
        <v>28</v>
      </c>
      <c r="C154">
        <f t="shared" si="2"/>
        <v>401</v>
      </c>
      <c r="D154">
        <f t="shared" si="3"/>
        <v>20521231</v>
      </c>
      <c r="E154">
        <f t="shared" si="4"/>
        <v>1</v>
      </c>
    </row>
    <row r="155" spans="1:5" x14ac:dyDescent="0.35">
      <c r="A155">
        <f t="shared" si="0"/>
        <v>56250</v>
      </c>
      <c r="B155">
        <f t="shared" si="1"/>
        <v>28</v>
      </c>
      <c r="C155">
        <f t="shared" si="2"/>
        <v>501</v>
      </c>
      <c r="D155">
        <f t="shared" si="3"/>
        <v>20531231</v>
      </c>
      <c r="E155">
        <f t="shared" si="4"/>
        <v>53</v>
      </c>
    </row>
    <row r="156" spans="1:5" x14ac:dyDescent="0.35">
      <c r="A156">
        <f t="shared" si="0"/>
        <v>56615</v>
      </c>
      <c r="B156">
        <f t="shared" si="1"/>
        <v>28</v>
      </c>
      <c r="C156">
        <f t="shared" si="2"/>
        <v>653</v>
      </c>
      <c r="D156">
        <f t="shared" si="3"/>
        <v>20541231</v>
      </c>
      <c r="E156">
        <f t="shared" si="4"/>
        <v>52</v>
      </c>
    </row>
    <row r="157" spans="1:5" x14ac:dyDescent="0.35">
      <c r="A157">
        <f t="shared" si="0"/>
        <v>56980</v>
      </c>
      <c r="B157">
        <f t="shared" si="1"/>
        <v>29</v>
      </c>
      <c r="C157">
        <f t="shared" si="2"/>
        <v>752</v>
      </c>
      <c r="D157">
        <f t="shared" si="3"/>
        <v>20551231</v>
      </c>
      <c r="E157">
        <f t="shared" si="4"/>
        <v>52</v>
      </c>
    </row>
    <row r="158" spans="1:5" x14ac:dyDescent="0.35">
      <c r="A158">
        <f t="shared" si="0"/>
        <v>57346</v>
      </c>
      <c r="B158">
        <f t="shared" si="1"/>
        <v>28</v>
      </c>
      <c r="C158">
        <f t="shared" si="2"/>
        <v>201</v>
      </c>
      <c r="D158">
        <f t="shared" si="3"/>
        <v>20561231</v>
      </c>
      <c r="E158">
        <f t="shared" si="4"/>
        <v>1</v>
      </c>
    </row>
    <row r="159" spans="1:5" x14ac:dyDescent="0.35">
      <c r="A159">
        <f t="shared" si="0"/>
        <v>57711</v>
      </c>
      <c r="B159">
        <f t="shared" si="1"/>
        <v>28</v>
      </c>
      <c r="C159">
        <f t="shared" si="2"/>
        <v>301</v>
      </c>
      <c r="D159">
        <f t="shared" si="3"/>
        <v>20571231</v>
      </c>
      <c r="E159">
        <f t="shared" si="4"/>
        <v>1</v>
      </c>
    </row>
    <row r="160" spans="1:5" x14ac:dyDescent="0.35">
      <c r="A160">
        <f t="shared" si="0"/>
        <v>58076</v>
      </c>
      <c r="B160">
        <f t="shared" si="1"/>
        <v>28</v>
      </c>
      <c r="C160">
        <f t="shared" si="2"/>
        <v>401</v>
      </c>
      <c r="D160">
        <f t="shared" si="3"/>
        <v>20581231</v>
      </c>
      <c r="E160">
        <f t="shared" si="4"/>
        <v>1</v>
      </c>
    </row>
    <row r="161" spans="1:5" x14ac:dyDescent="0.35">
      <c r="A161">
        <f t="shared" si="0"/>
        <v>58441</v>
      </c>
      <c r="B161">
        <f t="shared" si="1"/>
        <v>29</v>
      </c>
      <c r="C161">
        <f t="shared" si="2"/>
        <v>501</v>
      </c>
      <c r="D161">
        <f t="shared" si="3"/>
        <v>20591231</v>
      </c>
      <c r="E161">
        <f t="shared" si="4"/>
        <v>53</v>
      </c>
    </row>
    <row r="162" spans="1:5" x14ac:dyDescent="0.35">
      <c r="A162">
        <f t="shared" si="0"/>
        <v>58807</v>
      </c>
      <c r="B162">
        <f t="shared" si="1"/>
        <v>28</v>
      </c>
      <c r="C162">
        <f t="shared" si="2"/>
        <v>753</v>
      </c>
      <c r="D162">
        <f t="shared" si="3"/>
        <v>20601231</v>
      </c>
      <c r="E162">
        <f t="shared" si="4"/>
        <v>52</v>
      </c>
    </row>
    <row r="163" spans="1:5" x14ac:dyDescent="0.35">
      <c r="A163">
        <f t="shared" si="0"/>
        <v>59172</v>
      </c>
      <c r="B163">
        <f t="shared" si="1"/>
        <v>28</v>
      </c>
      <c r="C163">
        <f t="shared" si="2"/>
        <v>152</v>
      </c>
      <c r="D163">
        <f t="shared" si="3"/>
        <v>20611231</v>
      </c>
      <c r="E163">
        <f t="shared" si="4"/>
        <v>52</v>
      </c>
    </row>
    <row r="164" spans="1:5" x14ac:dyDescent="0.35">
      <c r="A164">
        <f t="shared" si="0"/>
        <v>59537</v>
      </c>
      <c r="B164">
        <f t="shared" si="1"/>
        <v>28</v>
      </c>
      <c r="C164">
        <f t="shared" si="2"/>
        <v>201</v>
      </c>
      <c r="D164">
        <f t="shared" si="3"/>
        <v>20621231</v>
      </c>
      <c r="E164">
        <f t="shared" si="4"/>
        <v>1</v>
      </c>
    </row>
    <row r="165" spans="1:5" x14ac:dyDescent="0.35">
      <c r="A165">
        <f t="shared" si="0"/>
        <v>59902</v>
      </c>
      <c r="B165">
        <f t="shared" si="1"/>
        <v>29</v>
      </c>
      <c r="C165">
        <f t="shared" si="2"/>
        <v>301</v>
      </c>
      <c r="D165">
        <f t="shared" si="3"/>
        <v>20631231</v>
      </c>
      <c r="E165">
        <f t="shared" si="4"/>
        <v>1</v>
      </c>
    </row>
    <row r="166" spans="1:5" x14ac:dyDescent="0.35">
      <c r="A166">
        <f t="shared" si="0"/>
        <v>60268</v>
      </c>
      <c r="B166">
        <f t="shared" si="1"/>
        <v>28</v>
      </c>
      <c r="C166">
        <f t="shared" si="2"/>
        <v>501</v>
      </c>
      <c r="D166">
        <f t="shared" si="3"/>
        <v>20641231</v>
      </c>
      <c r="E166">
        <f t="shared" si="4"/>
        <v>53</v>
      </c>
    </row>
    <row r="167" spans="1:5" x14ac:dyDescent="0.35">
      <c r="A167">
        <f t="shared" si="0"/>
        <v>60633</v>
      </c>
      <c r="B167">
        <f t="shared" si="1"/>
        <v>28</v>
      </c>
      <c r="C167">
        <f t="shared" si="2"/>
        <v>653</v>
      </c>
      <c r="D167">
        <f t="shared" si="3"/>
        <v>20651231</v>
      </c>
      <c r="E167">
        <f t="shared" si="4"/>
        <v>52</v>
      </c>
    </row>
    <row r="168" spans="1:5" x14ac:dyDescent="0.35">
      <c r="A168">
        <f t="shared" si="0"/>
        <v>60998</v>
      </c>
      <c r="B168">
        <f t="shared" si="1"/>
        <v>28</v>
      </c>
      <c r="C168">
        <f t="shared" si="2"/>
        <v>752</v>
      </c>
      <c r="D168">
        <f t="shared" si="3"/>
        <v>20661231</v>
      </c>
      <c r="E168">
        <f t="shared" si="4"/>
        <v>52</v>
      </c>
    </row>
    <row r="169" spans="1:5" x14ac:dyDescent="0.35">
      <c r="A169">
        <f t="shared" si="0"/>
        <v>61363</v>
      </c>
      <c r="B169">
        <f t="shared" si="1"/>
        <v>29</v>
      </c>
      <c r="C169">
        <f t="shared" si="2"/>
        <v>152</v>
      </c>
      <c r="D169">
        <f t="shared" si="3"/>
        <v>20671231</v>
      </c>
      <c r="E169">
        <f t="shared" si="4"/>
        <v>1</v>
      </c>
    </row>
    <row r="170" spans="1:5" x14ac:dyDescent="0.35">
      <c r="A170">
        <f t="shared" si="0"/>
        <v>61729</v>
      </c>
      <c r="B170">
        <f t="shared" si="1"/>
        <v>28</v>
      </c>
      <c r="C170">
        <f t="shared" si="2"/>
        <v>301</v>
      </c>
      <c r="D170">
        <f t="shared" si="3"/>
        <v>20681231</v>
      </c>
      <c r="E170">
        <f t="shared" si="4"/>
        <v>1</v>
      </c>
    </row>
    <row r="171" spans="1:5" x14ac:dyDescent="0.35">
      <c r="A171">
        <f t="shared" si="0"/>
        <v>62094</v>
      </c>
      <c r="B171">
        <f t="shared" si="1"/>
        <v>28</v>
      </c>
      <c r="C171">
        <f t="shared" si="2"/>
        <v>401</v>
      </c>
      <c r="D171">
        <f t="shared" si="3"/>
        <v>20691231</v>
      </c>
      <c r="E171">
        <f t="shared" si="4"/>
        <v>1</v>
      </c>
    </row>
    <row r="172" spans="1:5" x14ac:dyDescent="0.35">
      <c r="A172">
        <f t="shared" si="0"/>
        <v>62459</v>
      </c>
      <c r="B172">
        <f t="shared" si="1"/>
        <v>28</v>
      </c>
      <c r="C172">
        <f t="shared" si="2"/>
        <v>501</v>
      </c>
      <c r="D172">
        <f t="shared" si="3"/>
        <v>20701231</v>
      </c>
      <c r="E172">
        <f t="shared" si="4"/>
        <v>53</v>
      </c>
    </row>
    <row r="173" spans="1:5" x14ac:dyDescent="0.35">
      <c r="A173">
        <f t="shared" si="0"/>
        <v>62824</v>
      </c>
      <c r="B173">
        <f t="shared" si="1"/>
        <v>29</v>
      </c>
      <c r="C173">
        <f t="shared" si="2"/>
        <v>653</v>
      </c>
      <c r="D173">
        <f t="shared" si="3"/>
        <v>20711231</v>
      </c>
      <c r="E173">
        <f t="shared" si="4"/>
        <v>52</v>
      </c>
    </row>
    <row r="174" spans="1:5" x14ac:dyDescent="0.35">
      <c r="A174">
        <f t="shared" si="0"/>
        <v>63190</v>
      </c>
      <c r="B174">
        <f t="shared" si="1"/>
        <v>28</v>
      </c>
      <c r="C174">
        <f t="shared" si="2"/>
        <v>152</v>
      </c>
      <c r="D174">
        <f t="shared" si="3"/>
        <v>20721231</v>
      </c>
      <c r="E174">
        <f t="shared" si="4"/>
        <v>52</v>
      </c>
    </row>
    <row r="175" spans="1:5" x14ac:dyDescent="0.35">
      <c r="A175">
        <f t="shared" si="0"/>
        <v>63555</v>
      </c>
      <c r="B175">
        <f t="shared" si="1"/>
        <v>28</v>
      </c>
      <c r="C175">
        <f t="shared" si="2"/>
        <v>201</v>
      </c>
      <c r="D175">
        <f t="shared" si="3"/>
        <v>20731231</v>
      </c>
      <c r="E175">
        <f t="shared" si="4"/>
        <v>1</v>
      </c>
    </row>
    <row r="176" spans="1:5" x14ac:dyDescent="0.35">
      <c r="A176">
        <f t="shared" si="0"/>
        <v>63920</v>
      </c>
      <c r="B176">
        <f t="shared" si="1"/>
        <v>28</v>
      </c>
      <c r="C176">
        <f t="shared" si="2"/>
        <v>301</v>
      </c>
      <c r="D176">
        <f t="shared" si="3"/>
        <v>20741231</v>
      </c>
      <c r="E176">
        <f t="shared" si="4"/>
        <v>1</v>
      </c>
    </row>
    <row r="177" spans="1:5" x14ac:dyDescent="0.35">
      <c r="A177">
        <f t="shared" si="0"/>
        <v>64285</v>
      </c>
      <c r="B177">
        <f t="shared" si="1"/>
        <v>29</v>
      </c>
      <c r="C177">
        <f t="shared" si="2"/>
        <v>401</v>
      </c>
      <c r="D177">
        <f t="shared" si="3"/>
        <v>20751231</v>
      </c>
      <c r="E177">
        <f t="shared" si="4"/>
        <v>53</v>
      </c>
    </row>
    <row r="178" spans="1:5" x14ac:dyDescent="0.35">
      <c r="A178">
        <f t="shared" si="0"/>
        <v>64651</v>
      </c>
      <c r="B178">
        <f t="shared" si="1"/>
        <v>28</v>
      </c>
      <c r="C178">
        <f t="shared" si="2"/>
        <v>653</v>
      </c>
      <c r="D178">
        <f t="shared" si="3"/>
        <v>20761231</v>
      </c>
      <c r="E178">
        <f t="shared" si="4"/>
        <v>52</v>
      </c>
    </row>
    <row r="179" spans="1:5" x14ac:dyDescent="0.35">
      <c r="A179">
        <f t="shared" si="0"/>
        <v>65016</v>
      </c>
      <c r="B179">
        <f t="shared" si="1"/>
        <v>28</v>
      </c>
      <c r="C179">
        <f t="shared" si="2"/>
        <v>752</v>
      </c>
      <c r="D179">
        <f t="shared" si="3"/>
        <v>20771231</v>
      </c>
      <c r="E179">
        <f t="shared" si="4"/>
        <v>52</v>
      </c>
    </row>
    <row r="180" spans="1:5" x14ac:dyDescent="0.35">
      <c r="A180">
        <f t="shared" si="0"/>
        <v>65381</v>
      </c>
      <c r="B180">
        <f t="shared" si="1"/>
        <v>28</v>
      </c>
      <c r="C180">
        <f t="shared" si="2"/>
        <v>152</v>
      </c>
      <c r="D180">
        <f t="shared" si="3"/>
        <v>20781231</v>
      </c>
      <c r="E180">
        <f t="shared" si="4"/>
        <v>52</v>
      </c>
    </row>
    <row r="181" spans="1:5" x14ac:dyDescent="0.35">
      <c r="A181">
        <f t="shared" si="0"/>
        <v>65746</v>
      </c>
      <c r="B181">
        <f t="shared" si="1"/>
        <v>29</v>
      </c>
      <c r="C181">
        <f t="shared" si="2"/>
        <v>201</v>
      </c>
      <c r="D181">
        <f t="shared" si="3"/>
        <v>20791231</v>
      </c>
      <c r="E181">
        <f t="shared" si="4"/>
        <v>1</v>
      </c>
    </row>
    <row r="182" spans="1:5" x14ac:dyDescent="0.35">
      <c r="A182">
        <f t="shared" si="0"/>
        <v>66112</v>
      </c>
      <c r="B182">
        <f t="shared" si="1"/>
        <v>28</v>
      </c>
      <c r="C182">
        <f t="shared" si="2"/>
        <v>401</v>
      </c>
      <c r="D182">
        <f t="shared" si="3"/>
        <v>20801231</v>
      </c>
      <c r="E182">
        <f t="shared" si="4"/>
        <v>1</v>
      </c>
    </row>
    <row r="183" spans="1:5" x14ac:dyDescent="0.35">
      <c r="A183">
        <f t="shared" si="0"/>
        <v>66477</v>
      </c>
      <c r="B183">
        <f t="shared" si="1"/>
        <v>28</v>
      </c>
      <c r="C183">
        <f t="shared" si="2"/>
        <v>501</v>
      </c>
      <c r="D183">
        <f t="shared" si="3"/>
        <v>20811231</v>
      </c>
      <c r="E183">
        <f t="shared" si="4"/>
        <v>53</v>
      </c>
    </row>
    <row r="184" spans="1:5" x14ac:dyDescent="0.35">
      <c r="A184">
        <f t="shared" si="0"/>
        <v>66842</v>
      </c>
      <c r="B184">
        <f t="shared" si="1"/>
        <v>28</v>
      </c>
      <c r="C184">
        <f t="shared" si="2"/>
        <v>653</v>
      </c>
      <c r="D184">
        <f t="shared" si="3"/>
        <v>20821231</v>
      </c>
      <c r="E184">
        <f t="shared" si="4"/>
        <v>52</v>
      </c>
    </row>
    <row r="185" spans="1:5" x14ac:dyDescent="0.35">
      <c r="A185">
        <f t="shared" si="0"/>
        <v>67207</v>
      </c>
      <c r="B185">
        <f t="shared" si="1"/>
        <v>29</v>
      </c>
      <c r="C185">
        <f t="shared" si="2"/>
        <v>752</v>
      </c>
      <c r="D185">
        <f t="shared" si="3"/>
        <v>20831231</v>
      </c>
      <c r="E185">
        <f t="shared" si="4"/>
        <v>52</v>
      </c>
    </row>
    <row r="186" spans="1:5" x14ac:dyDescent="0.35">
      <c r="A186">
        <f t="shared" si="0"/>
        <v>67573</v>
      </c>
      <c r="B186">
        <f t="shared" si="1"/>
        <v>28</v>
      </c>
      <c r="C186">
        <f t="shared" si="2"/>
        <v>201</v>
      </c>
      <c r="D186">
        <f t="shared" si="3"/>
        <v>20841231</v>
      </c>
      <c r="E186">
        <f t="shared" si="4"/>
        <v>1</v>
      </c>
    </row>
    <row r="187" spans="1:5" x14ac:dyDescent="0.35">
      <c r="A187">
        <f t="shared" si="0"/>
        <v>67938</v>
      </c>
      <c r="B187">
        <f t="shared" si="1"/>
        <v>28</v>
      </c>
      <c r="C187">
        <f t="shared" si="2"/>
        <v>301</v>
      </c>
      <c r="D187">
        <f t="shared" si="3"/>
        <v>20851231</v>
      </c>
      <c r="E187">
        <f t="shared" si="4"/>
        <v>1</v>
      </c>
    </row>
    <row r="188" spans="1:5" x14ac:dyDescent="0.35">
      <c r="A188">
        <f t="shared" si="0"/>
        <v>68303</v>
      </c>
      <c r="B188">
        <f t="shared" si="1"/>
        <v>28</v>
      </c>
      <c r="C188">
        <f t="shared" si="2"/>
        <v>401</v>
      </c>
      <c r="D188">
        <f t="shared" si="3"/>
        <v>20861231</v>
      </c>
      <c r="E188">
        <f t="shared" si="4"/>
        <v>1</v>
      </c>
    </row>
    <row r="189" spans="1:5" x14ac:dyDescent="0.35">
      <c r="A189">
        <f t="shared" si="0"/>
        <v>68668</v>
      </c>
      <c r="B189">
        <f t="shared" si="1"/>
        <v>29</v>
      </c>
      <c r="C189">
        <f t="shared" si="2"/>
        <v>501</v>
      </c>
      <c r="D189">
        <f t="shared" si="3"/>
        <v>20871231</v>
      </c>
      <c r="E189">
        <f t="shared" si="4"/>
        <v>53</v>
      </c>
    </row>
    <row r="190" spans="1:5" x14ac:dyDescent="0.35">
      <c r="A190">
        <f t="shared" si="0"/>
        <v>69034</v>
      </c>
      <c r="B190">
        <f t="shared" si="1"/>
        <v>28</v>
      </c>
      <c r="C190">
        <f t="shared" si="2"/>
        <v>753</v>
      </c>
      <c r="D190">
        <f t="shared" si="3"/>
        <v>20881231</v>
      </c>
      <c r="E190">
        <f t="shared" si="4"/>
        <v>52</v>
      </c>
    </row>
    <row r="191" spans="1:5" x14ac:dyDescent="0.35">
      <c r="A191">
        <f t="shared" si="0"/>
        <v>69399</v>
      </c>
      <c r="B191">
        <f t="shared" si="1"/>
        <v>28</v>
      </c>
      <c r="C191">
        <f t="shared" si="2"/>
        <v>152</v>
      </c>
      <c r="D191">
        <f t="shared" si="3"/>
        <v>20891231</v>
      </c>
      <c r="E191">
        <f t="shared" si="4"/>
        <v>52</v>
      </c>
    </row>
    <row r="192" spans="1:5" x14ac:dyDescent="0.35">
      <c r="A192">
        <f t="shared" si="0"/>
        <v>69764</v>
      </c>
      <c r="B192">
        <f t="shared" si="1"/>
        <v>28</v>
      </c>
      <c r="C192">
        <f t="shared" si="2"/>
        <v>201</v>
      </c>
      <c r="D192">
        <f t="shared" si="3"/>
        <v>20901231</v>
      </c>
      <c r="E192">
        <f t="shared" si="4"/>
        <v>1</v>
      </c>
    </row>
    <row r="193" spans="1:5" x14ac:dyDescent="0.35">
      <c r="A193">
        <f t="shared" si="0"/>
        <v>70129</v>
      </c>
      <c r="B193">
        <f t="shared" si="1"/>
        <v>29</v>
      </c>
      <c r="C193">
        <f t="shared" si="2"/>
        <v>301</v>
      </c>
      <c r="D193">
        <f t="shared" si="3"/>
        <v>20911231</v>
      </c>
      <c r="E193">
        <f t="shared" si="4"/>
        <v>1</v>
      </c>
    </row>
    <row r="194" spans="1:5" x14ac:dyDescent="0.35">
      <c r="A194">
        <f t="shared" si="0"/>
        <v>70495</v>
      </c>
      <c r="B194">
        <f t="shared" si="1"/>
        <v>28</v>
      </c>
      <c r="C194">
        <f t="shared" si="2"/>
        <v>501</v>
      </c>
      <c r="D194">
        <f t="shared" si="3"/>
        <v>20921231</v>
      </c>
      <c r="E194">
        <f t="shared" si="4"/>
        <v>53</v>
      </c>
    </row>
    <row r="195" spans="1:5" x14ac:dyDescent="0.35">
      <c r="A195">
        <f t="shared" si="0"/>
        <v>70860</v>
      </c>
      <c r="B195">
        <f t="shared" si="1"/>
        <v>28</v>
      </c>
      <c r="C195">
        <f t="shared" si="2"/>
        <v>653</v>
      </c>
      <c r="D195">
        <f t="shared" si="3"/>
        <v>20931231</v>
      </c>
      <c r="E195">
        <f t="shared" si="4"/>
        <v>52</v>
      </c>
    </row>
    <row r="196" spans="1:5" x14ac:dyDescent="0.35">
      <c r="A196">
        <f t="shared" si="0"/>
        <v>71225</v>
      </c>
      <c r="B196">
        <f t="shared" si="1"/>
        <v>28</v>
      </c>
      <c r="C196">
        <f t="shared" si="2"/>
        <v>752</v>
      </c>
      <c r="D196">
        <f t="shared" si="3"/>
        <v>20941231</v>
      </c>
      <c r="E196">
        <f t="shared" si="4"/>
        <v>52</v>
      </c>
    </row>
    <row r="197" spans="1:5" x14ac:dyDescent="0.35">
      <c r="A197">
        <f t="shared" si="0"/>
        <v>71590</v>
      </c>
      <c r="B197">
        <f t="shared" si="1"/>
        <v>29</v>
      </c>
      <c r="C197">
        <f t="shared" si="2"/>
        <v>152</v>
      </c>
      <c r="D197">
        <f t="shared" si="3"/>
        <v>20951231</v>
      </c>
      <c r="E197">
        <f t="shared" si="4"/>
        <v>1</v>
      </c>
    </row>
    <row r="198" spans="1:5" x14ac:dyDescent="0.35">
      <c r="A198">
        <f t="shared" si="0"/>
        <v>71956</v>
      </c>
      <c r="B198">
        <f t="shared" si="1"/>
        <v>28</v>
      </c>
      <c r="C198">
        <f t="shared" si="2"/>
        <v>301</v>
      </c>
      <c r="D198">
        <f t="shared" si="3"/>
        <v>20961231</v>
      </c>
      <c r="E198">
        <f t="shared" si="4"/>
        <v>1</v>
      </c>
    </row>
    <row r="199" spans="1:5" x14ac:dyDescent="0.35">
      <c r="A199">
        <f t="shared" si="0"/>
        <v>72321</v>
      </c>
      <c r="B199">
        <f t="shared" si="1"/>
        <v>28</v>
      </c>
      <c r="C199">
        <f t="shared" si="2"/>
        <v>401</v>
      </c>
      <c r="D199">
        <f t="shared" si="3"/>
        <v>20971231</v>
      </c>
      <c r="E199">
        <f t="shared" si="4"/>
        <v>1</v>
      </c>
    </row>
    <row r="200" spans="1:5" x14ac:dyDescent="0.35">
      <c r="A200">
        <f t="shared" si="0"/>
        <v>72686</v>
      </c>
      <c r="B200">
        <f t="shared" si="1"/>
        <v>28</v>
      </c>
      <c r="C200">
        <f t="shared" si="2"/>
        <v>501</v>
      </c>
      <c r="D200">
        <f t="shared" si="3"/>
        <v>20981231</v>
      </c>
      <c r="E200">
        <f t="shared" si="4"/>
        <v>53</v>
      </c>
    </row>
    <row r="201" spans="1:5" x14ac:dyDescent="0.35">
      <c r="A201">
        <f t="shared" si="0"/>
        <v>73051</v>
      </c>
      <c r="B201">
        <f t="shared" si="1"/>
        <v>28</v>
      </c>
      <c r="C201">
        <f t="shared" si="2"/>
        <v>653</v>
      </c>
      <c r="D201">
        <f t="shared" si="3"/>
        <v>20991231</v>
      </c>
      <c r="E201">
        <f t="shared" si="4"/>
        <v>52</v>
      </c>
    </row>
    <row r="202" spans="1:5" x14ac:dyDescent="0.35">
      <c r="A202">
        <f t="shared" si="0"/>
        <v>73416</v>
      </c>
      <c r="B202">
        <f t="shared" si="1"/>
        <v>28</v>
      </c>
      <c r="C202">
        <f t="shared" si="2"/>
        <v>752</v>
      </c>
      <c r="D202">
        <f t="shared" si="3"/>
        <v>21001231</v>
      </c>
      <c r="E202">
        <f t="shared" si="4"/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Frazaro</vt:lpstr>
      <vt:lpstr>data</vt:lpstr>
      <vt:lpstr>functions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 Johnson</dc:creator>
  <cp:lastModifiedBy>Preston Johnson</cp:lastModifiedBy>
  <dcterms:created xsi:type="dcterms:W3CDTF">2026-10-20T20:14:30Z</dcterms:created>
  <dcterms:modified xsi:type="dcterms:W3CDTF">2026-10-20T20:14:30Z</dcterms:modified>
</cp:coreProperties>
</file>