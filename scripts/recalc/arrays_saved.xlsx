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\Documents\Code\VLA\Delta\Frazaro\scripts\recalc\"/>
    </mc:Choice>
  </mc:AlternateContent>
  <xr:revisionPtr revIDLastSave="0" documentId="8_{9101163F-406F-4D99-BFA0-F27CF597F37C}" xr6:coauthVersionLast="47" xr6:coauthVersionMax="47" xr10:uidLastSave="{00000000-0000-0000-0000-000000000000}"/>
  <bookViews>
    <workbookView xWindow="840" yWindow="290" windowWidth="15970" windowHeight="17950" activeTab="2" xr2:uid="{00000000-000D-0000-FFFF-FFFF00000000}"/>
  </bookViews>
  <sheets>
    <sheet name="Frazaro" sheetId="1" r:id="rId1"/>
    <sheet name="data" sheetId="2" r:id="rId2"/>
    <sheet name="functions" sheetId="3" r:id="rId3"/>
  </sheets>
  <definedNames>
    <definedName name="Frazaro.Build">_xlfn._LONGTEXT("Frazaro 0.10.1; sentences sha256:981B354418199D03A8FA01F3A69CF9360C401AD513CF1C59E94A1E20996A9F92 over 13057 non-whitespace bytes; prelude sha256:887F55C46AA71563EE5DE0F74E3D4DB1C0022986248AD1FBF8A7A63711AC508C over 27033 non-whitespace bytes; phrasebook ","1 sha256:5E5FF4121AA83D783E926C1A78B8E8C7C45BFE1E1184340F8D93A0285DDCB949 over 167902 non-whitespace bytes")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 a="1"/>
  <c r="K3" i="3" s="1"/>
  <c r="K2" i="3" a="1"/>
  <c r="K2" i="3" s="1"/>
  <c r="K1" i="3" a="1"/>
  <c r="K1" i="3" s="1"/>
  <c r="A214" i="3"/>
  <c r="A213" i="3"/>
  <c r="A212" i="3" a="1"/>
  <c r="A211" i="3" a="1"/>
  <c r="A210" i="3" a="1"/>
  <c r="A209" i="3" a="1"/>
  <c r="A208" i="3" a="1"/>
  <c r="A207" i="3"/>
  <c r="A206" i="3"/>
  <c r="A205" i="3" a="1"/>
  <c r="A204" i="3"/>
  <c r="A203" i="3"/>
  <c r="A202" i="3"/>
  <c r="A201" i="3" a="1"/>
  <c r="A200" i="3" a="1"/>
  <c r="A199" i="3" a="1"/>
  <c r="A198" i="3"/>
  <c r="A197" i="3" a="1"/>
  <c r="A196" i="3" a="1"/>
  <c r="A195" i="3" a="1"/>
  <c r="A194" i="3"/>
  <c r="A193" i="3" a="1"/>
  <c r="A192" i="3"/>
  <c r="A191" i="3" a="1"/>
  <c r="A190" i="3" a="1"/>
  <c r="A189" i="3" a="1"/>
  <c r="A188" i="3" a="1"/>
  <c r="A187" i="3" a="1"/>
  <c r="A186" i="3"/>
  <c r="A185" i="3" a="1"/>
  <c r="A184" i="3" a="1"/>
  <c r="A183" i="3" a="1"/>
  <c r="A182" i="3" a="1"/>
  <c r="A181" i="3" a="1"/>
  <c r="A180" i="3" a="1"/>
  <c r="A179" i="3" a="1"/>
  <c r="A178" i="3" a="1"/>
  <c r="A177" i="3" a="1"/>
  <c r="A176" i="3" a="1"/>
  <c r="A175" i="3" a="1"/>
  <c r="A174" i="3" a="1"/>
  <c r="A173" i="3" a="1"/>
  <c r="A172" i="3" a="1"/>
  <c r="A171" i="3" a="1"/>
  <c r="A170" i="3" a="1"/>
  <c r="A169" i="3" a="1"/>
  <c r="A168" i="3" a="1"/>
  <c r="A167" i="3" a="1"/>
  <c r="A166" i="3" a="1"/>
  <c r="A165" i="3" a="1"/>
  <c r="A164" i="3" a="1"/>
  <c r="A163" i="3" a="1"/>
  <c r="A162" i="3" a="1"/>
  <c r="A161" i="3" a="1"/>
  <c r="A160" i="3" a="1"/>
  <c r="A159" i="3" a="1"/>
  <c r="A158" i="3" a="1"/>
  <c r="A157" i="3" a="1"/>
  <c r="A156" i="3" a="1"/>
  <c r="A155" i="3" a="1"/>
  <c r="A154" i="3" a="1"/>
  <c r="A153" i="3" a="1"/>
  <c r="A151" i="3" a="1"/>
  <c r="A150" i="3" a="1"/>
  <c r="A149" i="3" a="1"/>
  <c r="A148" i="3" a="1"/>
  <c r="A147" i="3" a="1"/>
  <c r="A146" i="3" a="1"/>
  <c r="A145" i="3" a="1"/>
  <c r="A144" i="3" a="1"/>
  <c r="A143" i="3" a="1"/>
  <c r="A142" i="3" a="1"/>
  <c r="A141" i="3" a="1"/>
  <c r="A140" i="3" a="1"/>
  <c r="A139" i="3" a="1"/>
  <c r="A138" i="3" a="1"/>
  <c r="A137" i="3" a="1"/>
  <c r="A136" i="3" a="1"/>
  <c r="A135" i="3" a="1"/>
  <c r="A134" i="3" a="1"/>
  <c r="A133" i="3" a="1"/>
  <c r="A132" i="3" a="1"/>
  <c r="A131" i="3" a="1"/>
  <c r="A130" i="3" a="1"/>
  <c r="A129" i="3" a="1"/>
  <c r="A128" i="3" a="1"/>
  <c r="A127" i="3" a="1"/>
  <c r="A126" i="3" a="1"/>
  <c r="A125" i="3" a="1"/>
  <c r="A124" i="3" a="1"/>
  <c r="A123" i="3" a="1"/>
  <c r="A122" i="3" a="1"/>
  <c r="A121" i="3" a="1"/>
  <c r="A120" i="3" a="1"/>
  <c r="A119" i="3" a="1"/>
  <c r="A118" i="3" a="1"/>
  <c r="A117" i="3" a="1"/>
  <c r="A116" i="3" a="1"/>
  <c r="A115" i="3" a="1"/>
  <c r="A114" i="3" a="1"/>
  <c r="A112" i="3" a="1"/>
  <c r="A111" i="3" a="1"/>
  <c r="A110" i="3" a="1"/>
  <c r="A109" i="3" a="1"/>
  <c r="A108" i="3" a="1"/>
  <c r="A107" i="3" a="1"/>
  <c r="A106" i="3" a="1"/>
  <c r="A105" i="3" a="1"/>
  <c r="A104" i="3" a="1"/>
  <c r="A103" i="3" a="1"/>
  <c r="A102" i="3" a="1"/>
  <c r="A101" i="3" a="1"/>
  <c r="A100" i="3" a="1"/>
  <c r="A99" i="3" a="1"/>
  <c r="A98" i="3" a="1"/>
  <c r="A97" i="3" a="1"/>
  <c r="A96" i="3" a="1"/>
  <c r="A95" i="3" a="1"/>
  <c r="A94" i="3" a="1"/>
  <c r="A93" i="3" a="1"/>
  <c r="A92" i="3" a="1"/>
  <c r="A91" i="3" a="1"/>
  <c r="A90" i="3" a="1"/>
  <c r="A89" i="3" a="1"/>
  <c r="A88" i="3" a="1"/>
  <c r="A87" i="3" a="1"/>
  <c r="A86" i="3" a="1"/>
  <c r="A85" i="3" a="1"/>
  <c r="A84" i="3" a="1"/>
  <c r="A83" i="3" a="1"/>
  <c r="A82" i="3" a="1"/>
  <c r="A81" i="3" a="1"/>
  <c r="A80" i="3" a="1"/>
  <c r="A79" i="3" a="1"/>
  <c r="A78" i="3" a="1"/>
  <c r="A77" i="3" a="1"/>
  <c r="A76" i="3" a="1"/>
  <c r="A75" i="3" a="1"/>
  <c r="A74" i="3" a="1"/>
  <c r="A73" i="3" a="1"/>
  <c r="A72" i="3" a="1"/>
  <c r="A71" i="3" a="1"/>
  <c r="A70" i="3" a="1"/>
  <c r="A69" i="3" a="1"/>
  <c r="A68" i="3" a="1"/>
  <c r="A67" i="3" a="1"/>
  <c r="A66" i="3" a="1"/>
  <c r="A65" i="3" a="1"/>
  <c r="A64" i="3" a="1"/>
  <c r="A63" i="3" a="1"/>
  <c r="A62" i="3" a="1"/>
  <c r="A61" i="3" a="1"/>
  <c r="A60" i="3" a="1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 a="1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G1" i="3" a="1"/>
  <c r="D1" i="3" a="1"/>
  <c r="D3" i="2"/>
  <c r="A46" i="3" s="1"/>
  <c r="I2" i="2"/>
  <c r="A113" i="3" s="1" a="1"/>
  <c r="H1" i="2"/>
  <c r="A152" i="3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<sst xmlns="http://schemas.openxmlformats.org/spreadsheetml/2006/main" count="514" uniqueCount="261">
  <si>
    <t># The arrays' fixture (KERNEL.8, slice f): a Data sheet of numbers in A1:A6 (unsorted, two alike), texts in B1:B5</t>
  </si>
  <si>
    <t>OK</t>
  </si>
  <si>
    <t># in two cases above an empty B6, numbers in C1:C6, a mixed column in D (a number, a text, a truth value, an empty</t>
  </si>
  <si>
    <t># cell, zero and a negative), a matrix of three rows and two columns in E1:F3 and a column of two in G1:G2, an error</t>
  </si>
  <si>
    <t># and a number in H1:H2, and 0.3 beside 0.1+0.2 in I1:I2; and a Functions sheet of one formula a rule from row 10:</t>
  </si>
  <si>
    <t># array constants and the lift of an operator and of a value parameter over them, in legacy formulas;</t>
  </si>
  <si>
    <t># SUMPRODUCT, ROWS and COLUMNS; SEQUENCE, FILTER, SORT, SORTBY, UNIQUE, TRANSPOSE and MMULT; the shapers</t>
  </si>
  <si>
    <t># CHOOSECOLS, CHOOSEROWS, TAKE, DROP, HSTACK, VSTACK, TOCOL, TOROW, WRAPROWS, WRAPCOLS and EXPAND; a range read</t>
  </si>
  <si>
    <t># whole in a dynamic formula (one calling an array function, as the build writes it); the lookups over arrays; `:`</t>
  </si>
  <si>
    <t># between expressions; empty cells in arrays, and the edges Excel's documentation is silent on. Two formulas in D1</t>
  </si>
  <si>
    <t># and G1 spill, room left beside them. Built by frazaro into arrays.xlsx (each value it computes held). The owner</t>
  </si>
  <si>
    <t># types three legacy array formulas into K1:K3 with Ctrl+Shift+Enter in Excel and saves it as arrays_saved.xlsx.</t>
  </si>
  <si>
    <t>Work on sheet Data.</t>
  </si>
  <si>
    <t>Put 3 into cell A1.</t>
  </si>
  <si>
    <t>Put 1 into cell A2.</t>
  </si>
  <si>
    <t>Put 4 into cell A3.</t>
  </si>
  <si>
    <t>Put 1 into cell A4.</t>
  </si>
  <si>
    <t>Put 5 into cell A5.</t>
  </si>
  <si>
    <t>Put 9 into cell A6.</t>
  </si>
  <si>
    <t>Put "pear" into cell B1.</t>
  </si>
  <si>
    <t>Put "Apple" into cell B2.</t>
  </si>
  <si>
    <t>Put "fig" into cell B3.</t>
  </si>
  <si>
    <t>Put "apple" into cell B4.</t>
  </si>
  <si>
    <t>Put "Date" into cell B5.</t>
  </si>
  <si>
    <t>Put 10 into cell C1.</t>
  </si>
  <si>
    <t>Put 20 into cell C2.</t>
  </si>
  <si>
    <t>Put 30 into cell C3.</t>
  </si>
  <si>
    <t>Put 40 into cell C4.</t>
  </si>
  <si>
    <t>Put 50 into cell C5.</t>
  </si>
  <si>
    <t>Put 60 into cell C6.</t>
  </si>
  <si>
    <t>Put 2 into cell D1.</t>
  </si>
  <si>
    <t>Put "x" into cell D2.</t>
  </si>
  <si>
    <t>Put formula "=TRUE" into cell D3.</t>
  </si>
  <si>
    <t>Put 0 into cell D5.</t>
  </si>
  <si>
    <t>Put -1 into cell D6.</t>
  </si>
  <si>
    <t>Put 1 into cell E1.</t>
  </si>
  <si>
    <t>Put 2 into cell F1.</t>
  </si>
  <si>
    <t>Put 3 into cell E2.</t>
  </si>
  <si>
    <t>Put 4 into cell F2.</t>
  </si>
  <si>
    <t>Put 5 into cell E3.</t>
  </si>
  <si>
    <t>Put 6 into cell F3.</t>
  </si>
  <si>
    <t>Put 7 into cell G1.</t>
  </si>
  <si>
    <t>Put 8 into cell G2.</t>
  </si>
  <si>
    <t>Put formula "=1/0" into cell H1.</t>
  </si>
  <si>
    <t>Put 7 into cell H2.</t>
  </si>
  <si>
    <t>Put 0.3 into cell I1.</t>
  </si>
  <si>
    <t>Put formula "=0.1+0.2" into cell I2.</t>
  </si>
  <si>
    <t>Work on sheet Functions.</t>
  </si>
  <si>
    <t>Put formula "=SEQUENCE(2,2)" into cell D1.</t>
  </si>
  <si>
    <t>Put formula "=FILTER(Data!A1:A6,Data!A1:A6&gt;4)" into cell G1.</t>
  </si>
  <si>
    <t>Put formula "=SUM({1,2;3,4})" into cell A10.</t>
  </si>
  <si>
    <t>Put formula "=SUM({1,""2"",TRUE})" into cell A11.</t>
  </si>
  <si>
    <t>Put formula "=COUNTA({1,""a"",TRUE,#N/A})" into cell A12.</t>
  </si>
  <si>
    <t>Put formula "=COUNT({1,""2"",TRUE})" into cell A13.</t>
  </si>
  <si>
    <t>Put formula "=AVERAGE({1,2,3,4})" into cell A14.</t>
  </si>
  <si>
    <t>Put formula "=MAX({-1,-5;3,0})" into cell A15.</t>
  </si>
  <si>
    <t>Put formula "=AND({TRUE,1})" into cell A16.</t>
  </si>
  <si>
    <t>Put formula "=OR({FALSE,0})" into cell A17.</t>
  </si>
  <si>
    <t>Put formula "={1,2,3}" into cell A18.</t>
  </si>
  <si>
    <t>Put formula "={-1,2}*2" into cell A19.</t>
  </si>
  <si>
    <t>Put formula "=SUM({1,2,3}*{4,5,6})" into cell A20.</t>
  </si>
  <si>
    <t>Put formula "=SUM({1,2,3}+{10;20})" into cell A21.</t>
  </si>
  <si>
    <t>Put formula "=SUM({1,2,3}+{10,20})" into cell A22.</t>
  </si>
  <si>
    <t>Put formula "=SUM(LEN({""a"",""bc"",""def""}))" into cell A23.</t>
  </si>
  <si>
    <t>Put formula "=SUM(IF({TRUE,FALSE,TRUE},{1,2,3},{10,20,30}))" into cell A24.</t>
  </si>
  <si>
    <t>Put formula "=SUM(IF({TRUE,FALSE,TRUE},{1,2},0))" into cell A25.</t>
  </si>
  <si>
    <t>Put formula "=SUM(IF({FALSE,FALSE,FALSE},{1,2},5))" into cell A26.</t>
  </si>
  <si>
    <t>Put formula "=SUM(CHOOSE({1,2},10,20))" into cell A27.</t>
  </si>
  <si>
    <t>Put formula "=SUM(IFERROR({1,#N/A,3},0))" into cell A28.</t>
  </si>
  <si>
    <t>Put formula "=SUM(IFERROR({1,2,3},{10,20}))" into cell A29.</t>
  </si>
  <si>
    <t>Put formula "=SUM(ISNUMBER({1,""a"",TRUE})*1)" into cell A30.</t>
  </si>
  <si>
    <t>Put formula "=SUM(COUNTIF(Data!A1:A6,{1,3}))" into cell A31.</t>
  </si>
  <si>
    <t>Put formula "=SUM(SUMIF(Data!A1:A6,{1,5},Data!C1:C6))" into cell A32.</t>
  </si>
  <si>
    <t>Put formula "=SUM(VLOOKUP(3,Data!A1:C6,{1,3},FALSE))" into cell A33.</t>
  </si>
  <si>
    <t>Put formula "=MATCH(4,{3,1,4},0)" into cell A34.</t>
  </si>
  <si>
    <t>Put formula "=SUM(-{1,2})" into cell A35.</t>
  </si>
  <si>
    <t>Put formula "=SUM({50,150}%)" into cell A36.</t>
  </si>
  <si>
    <t>Put formula "=SUM(({1,2,3}&gt;1)*1)" into cell A37.</t>
  </si>
  <si>
    <t>Put formula "=SUMPRODUCT({1,2},{3,4})" into cell A38.</t>
  </si>
  <si>
    <t>Put formula "=SUMPRODUCT(Data!A1:A6,Data!C1:C6)" into cell A39.</t>
  </si>
  <si>
    <t>Put formula "=SUMPRODUCT(Data!A1:A6*Data!C1:C6)" into cell A40.</t>
  </si>
  <si>
    <t>Put formula "=SUMPRODUCT((Data!A1:A6&gt;2)*Data!C1:C6)" into cell A41.</t>
  </si>
  <si>
    <t>Put formula "=SUMPRODUCT(--(Data!A1:A6&gt;2))" into cell A42.</t>
  </si>
  <si>
    <t>Put formula "=SUMPRODUCT((Data!A1:A6&gt;2)*1,Data!C1:C6)" into cell A43.</t>
  </si>
  <si>
    <t>Put formula "=SUMPRODUCT(Data!A1:A6,Data!C1:C5)" into cell A44.</t>
  </si>
  <si>
    <t>Put formula "=SUMPRODUCT({1,""a"",TRUE},{1,1,1})" into cell A45.</t>
  </si>
  <si>
    <t>Put formula "=SUMPRODUCT(Data!D1:D6)" into cell A46.</t>
  </si>
  <si>
    <t>Put formula "=SUMPRODUCT({1,2},{3,#N/A})" into cell A47.</t>
  </si>
  <si>
    <t>Put formula "=SUMPRODUCT(ROW(Data!A1:A6)*Data!A1:A6)" into cell A48.</t>
  </si>
  <si>
    <t>Put formula "=SUMPRODUCT(LEN(Data!B1:B6))" into cell A49.</t>
  </si>
  <si>
    <t>Put formula "=SUMPRODUCT(5)" into cell A50.</t>
  </si>
  <si>
    <t>Put formula "=SUMPRODUCT(""5"")" into cell A51.</t>
  </si>
  <si>
    <t>Put formula "=ROWS({1,2;3,4;5,6})" into cell A52.</t>
  </si>
  <si>
    <t>Put formula "=COLUMNS({1,2;3,4;5,6})" into cell A53.</t>
  </si>
  <si>
    <t>Put formula "=ROWS(Data!A1:C6)" into cell A54.</t>
  </si>
  <si>
    <t>Put formula "=COLUMNS(Data!A1:C6)" into cell A55.</t>
  </si>
  <si>
    <t>Put formula "=ROWS(5)" into cell A56.</t>
  </si>
  <si>
    <t>Put formula "=ROWS(Data!A1:A6*1)" into cell A57.</t>
  </si>
  <si>
    <t>Put formula "=SUM(Data!A1:A6*Data!C1:C6)" into cell A58.</t>
  </si>
  <si>
    <t>Put formula "=SUM(ROW(Data!A1:A6))" into cell A59.</t>
  </si>
  <si>
    <t>Put formula "=SUM(SEQUENCE(4))" into cell A60.</t>
  </si>
  <si>
    <t>Put formula "=SUM(SEQUENCE(2,3))" into cell A61.</t>
  </si>
  <si>
    <t>Put formula "=SUM(SEQUENCE(3,1,10,5))" into cell A62.</t>
  </si>
  <si>
    <t>Put formula "=SUM(SEQUENCE(5,1,0,0.1))" into cell A63.</t>
  </si>
  <si>
    <t>Put formula "=SEQUENCE(0)" into cell A64.</t>
  </si>
  <si>
    <t>Put formula "=SEQUENCE(-1)" into cell A65.</t>
  </si>
  <si>
    <t>Put formula "=SUM(SEQUENCE(2.9))" into cell A66.</t>
  </si>
  <si>
    <t>Put formula "=SEQUENCE(1,0)" into cell A67.</t>
  </si>
  <si>
    <t>Put formula "=SUM(SEQUENCE(,3))" into cell A68.</t>
  </si>
  <si>
    <t>Put formula "=INDEX(SEQUENCE(3,3),2,3)" into cell A69.</t>
  </si>
  <si>
    <t>Put formula "=INDEX(SEQUENCE(2,2)*10,2,2)" into cell A70.</t>
  </si>
  <si>
    <t>Put formula "=SUM(SEQUENCE(3)*{1;2;3})" into cell A71.</t>
  </si>
  <si>
    <t>Put formula "=SUM(FILTER(Data!C1:C6,Data!A1:A6&gt;2))" into cell A72.</t>
  </si>
  <si>
    <t>Put formula "=ROWS(FILTER(Data!A1:A6,Data!A1:A6=1))" into cell A73.</t>
  </si>
  <si>
    <t>Put formula "=FILTER(Data!A1:A6,Data!A1:A6&gt;100)" into cell A74.</t>
  </si>
  <si>
    <t>Put formula "=FILTER(Data!A1:A6,Data!A1:A6&gt;100,""none"")" into cell A75.</t>
  </si>
  <si>
    <t>Put formula "=FILTER(Data!A1:A6,Data!A1:A6&gt;100,0)" into cell A76.</t>
  </si>
  <si>
    <t>Put formula "=SUM(FILTER(Data!E1:F3,{TRUE,FALSE}))" into cell A77.</t>
  </si>
  <si>
    <t>Put formula "=FILTER(Data!A1:A6,Data!A1:A5&gt;1)" into cell A78.</t>
  </si>
  <si>
    <t>Put formula "=SUM(FILTER(Data!A1:A6,(Data!A1:A6&gt;1)*(Data!A1:A6&lt;5)))" into cell A79.</t>
  </si>
  <si>
    <t>Put formula "=ROWS(FILTER(Data!A1:A6,Data!C1:C6))" into cell A80.</t>
  </si>
  <si>
    <t>Put formula "=FILTER(Data!A1:A6,Data!B1:B6)" into cell A81.</t>
  </si>
  <si>
    <t>Put formula "=COUNTA(FILTER(Data!B1:B6,Data!A1:A6&gt;0))" into cell A82.</t>
  </si>
  <si>
    <t>Put formula "=SUM(ISBLANK(FILTER(Data!B1:B6,Data!A1:A6&gt;0))*1)" into cell A83.</t>
  </si>
  <si>
    <t>Put formula "=TEXTJOIN("","",FALSE,FILTER(Data!B1:B6,Data!A1:A6&gt;0))" into cell A84.</t>
  </si>
  <si>
    <t>Put formula "=INDEX(SORT(Data!A1:A6),1)" into cell A85.</t>
  </si>
  <si>
    <t>Put formula "=INDEX(SORT(Data!A1:A6),6)" into cell A86.</t>
  </si>
  <si>
    <t>Put formula "=INDEX(SORT(Data!A1:A6,1,-1),1)" into cell A87.</t>
  </si>
  <si>
    <t>Put formula "=INDEX(SORT(Data!B1:B5),1)" into cell A88.</t>
  </si>
  <si>
    <t>Put formula "=INDEX(SORT(Data!B1:B5),2)" into cell A89.</t>
  </si>
  <si>
    <t>Put formula "=INDEX(SORT(Data!B1:B6),6)" into cell A90.</t>
  </si>
  <si>
    <t>Put formula "=INDEX(SORT(Data!E1:F3,2,-1),1,1)" into cell A91.</t>
  </si>
  <si>
    <t>Put formula "=INDEX(SORT(Data!E1:F3,1,1,TRUE),1,1)" into cell A92.</t>
  </si>
  <si>
    <t>Put formula "=INDEX(SORT({3,1,2},1,1,TRUE),1)" into cell A93.</t>
  </si>
  <si>
    <t>Put formula "=INDEX(SORT({""b"";""A"";""a"";""B""}),1)" into cell A94.</t>
  </si>
  <si>
    <t>Put formula "=INDEX(SORT({2;""a"";TRUE;1}),3)" into cell A95.</t>
  </si>
  <si>
    <t>Put formula "=INDEX(SORT({2;""a"";TRUE;1}),4)" into cell A96.</t>
  </si>
  <si>
    <t>Put formula "=INDEX(SORT({2;""a"";TRUE;1},1,-1),1)" into cell A97.</t>
  </si>
  <si>
    <t>Put formula "=INDEX(SORT({3;1;2},1,0),1)" into cell A98.</t>
  </si>
  <si>
    <t>Put formula "=INDEX(SORT({3;1;2},2),1)" into cell A99.</t>
  </si>
  <si>
    <t>Put formula "=INDEX(SORT(Data!E1:F3,{2,1},{-1,1}),1,2)" into cell A100.</t>
  </si>
  <si>
    <t>Put formula "=INDEX(SORTBY(Data!B1:B5,Data!A1:A5),1)" into cell A101.</t>
  </si>
  <si>
    <t>Put formula "=INDEX(SORTBY(Data!B1:B5,Data!A1:A5,-1),1)" into cell A102.</t>
  </si>
  <si>
    <t>Put formula "=INDEX(SORTBY(Data!C1:C6,Data!A1:A6,1,Data!C1:C6,-1),1)" into cell A103.</t>
  </si>
  <si>
    <t>Put formula "=SORTBY(Data!A1:A6,Data!A1:A5)" into cell A104.</t>
  </si>
  <si>
    <t>Put formula "=TEXTJOIN("","",TRUE,SORT(Data!B1:B5))" into cell A105.</t>
  </si>
  <si>
    <t>Put formula "=ROWS(UNIQUE(Data!A1:A6))" into cell A106.</t>
  </si>
  <si>
    <t>Put formula "=ROWS(UNIQUE(Data!A1:A6,FALSE,TRUE))" into cell A107.</t>
  </si>
  <si>
    <t>Put formula "=ROWS(UNIQUE(Data!B1:B5))" into cell A108.</t>
  </si>
  <si>
    <t>Put formula "=INDEX(UNIQUE(Data!B1:B5),2)" into cell A109.</t>
  </si>
  <si>
    <t>Put formula "=COLUMNS(UNIQUE({1,1,2},TRUE))" into cell A110.</t>
  </si>
  <si>
    <t>Put formula "=UNIQUE({1;1},FALSE,TRUE)" into cell A111.</t>
  </si>
  <si>
    <t>Put formula "=ROWS(UNIQUE(Data!B1:B6))" into cell A112.</t>
  </si>
  <si>
    <t>Put formula "=ROWS(UNIQUE(Data!I1:I2))" into cell A113.</t>
  </si>
  <si>
    <t>Put formula "=INDEX(TRANSPOSE(Data!E1:F3),2,3)" into cell A114.</t>
  </si>
  <si>
    <t>Put formula "=ROWS(TRANSPOSE(Data!A1:A6))" into cell A115.</t>
  </si>
  <si>
    <t>Put formula "=COLUMNS(TRANSPOSE(Data!A1:A6))" into cell A116.</t>
  </si>
  <si>
    <t>Put formula "=SUM(TRANSPOSE(Data!A1:A6)*{1,1,1,1,1,1})" into cell A117.</t>
  </si>
  <si>
    <t>Put formula "=INDEX(TRANSPOSE(Data!B1:B6),1,6)" into cell A118.</t>
  </si>
  <si>
    <t>Put formula "=COUNTA(TRANSPOSE(Data!B1:B6))" into cell A119.</t>
  </si>
  <si>
    <t>Put formula "=INDEX(MMULT(Data!E1:F3,{1;1}),3,1)" into cell A120.</t>
  </si>
  <si>
    <t>Put formula "=INDEX(MMULT({1,2},{3;4}),1,1)" into cell A121.</t>
  </si>
  <si>
    <t>Put formula "=MMULT({1,2},{3,4})" into cell A122.</t>
  </si>
  <si>
    <t>Put formula "=MMULT({1,""a""},{1;1})" into cell A123.</t>
  </si>
  <si>
    <t>Put formula "=MMULT({1,#N/A},{1;1})" into cell A124.</t>
  </si>
  <si>
    <t>Put formula "=SUM(MMULT(Data!E1:F3,Data!G1:G2))" into cell A125.</t>
  </si>
  <si>
    <t>Put formula "=INDEX(CHOOSECOLS(Data!E1:F3,2),3)" into cell A126.</t>
  </si>
  <si>
    <t>Put formula "=INDEX(CHOOSECOLS(Data!E1:F3,-1,1),1,2)" into cell A127.</t>
  </si>
  <si>
    <t>Put formula "=CHOOSECOLS(Data!E1:F3,3)" into cell A128.</t>
  </si>
  <si>
    <t>Put formula "=CHOOSECOLS(Data!E1:F3,0)" into cell A129.</t>
  </si>
  <si>
    <t>Put formula "=SUM(CHOOSEROWS(Data!A1:A6,{1,6}))" into cell A130.</t>
  </si>
  <si>
    <t>Put formula "=INDEX(CHOOSEROWS(Data!E1:F3,-1),1,1)" into cell A131.</t>
  </si>
  <si>
    <t>Put formula "=SUM(TAKE(Data!A1:A6,2))" into cell A132.</t>
  </si>
  <si>
    <t>Put formula "=SUM(TAKE(Data!A1:A6,-2))" into cell A133.</t>
  </si>
  <si>
    <t>Put formula "=SUM(TAKE(Data!E1:F3,2,1))" into cell A134.</t>
  </si>
  <si>
    <t>Put formula "=SUM(TAKE(Data!A1:A6,10))" into cell A135.</t>
  </si>
  <si>
    <t>Put formula "=TAKE(Data!A1:A6,0)" into cell A136.</t>
  </si>
  <si>
    <t>Put formula "=SUM(DROP(Data!A1:A6,2))" into cell A137.</t>
  </si>
  <si>
    <t>Put formula "=SUM(DROP(Data!A1:A6,-2))" into cell A138.</t>
  </si>
  <si>
    <t>Put formula "=DROP(Data!A1:A6,6)" into cell A139.</t>
  </si>
  <si>
    <t>Put formula "=SUM(DROP(Data!E1:F3,1,1))" into cell A140.</t>
  </si>
  <si>
    <t>Put formula "=COLUMNS(HSTACK(Data!A1:A6,Data!E1:F3))" into cell A141.</t>
  </si>
  <si>
    <t>Put formula "=ROWS(HSTACK(Data!A1:A6,Data!E1:F3))" into cell A142.</t>
  </si>
  <si>
    <t>Put formula "=INDEX(HSTACK(Data!A1:A6,Data!E1:F3),6,2)" into cell A143.</t>
  </si>
  <si>
    <t>Put formula "=INDEX(HSTACK(1,2),1,2)" into cell A144.</t>
  </si>
  <si>
    <t>Put formula "=ROWS(VSTACK(Data!A1:A6,Data!E1:F3))" into cell A145.</t>
  </si>
  <si>
    <t>Put formula "=INDEX(VSTACK(Data!A1:A6,Data!E1:F3),1,2)" into cell A146.</t>
  </si>
  <si>
    <t>Put formula "=INDEX(VSTACK({1,2},{3}),2,2)" into cell A147.</t>
  </si>
  <si>
    <t>Put formula "=ROWS(TOCOL(Data!E1:F3))" into cell A148.</t>
  </si>
  <si>
    <t>Put formula "=INDEX(TOCOL(Data!E1:F3),2)" into cell A149.</t>
  </si>
  <si>
    <t>Put formula "=INDEX(TOCOL(Data!E1:F3,0,TRUE),2)" into cell A150.</t>
  </si>
  <si>
    <t>Put formula "=ROWS(TOCOL(Data!B1:B6,1))" into cell A151.</t>
  </si>
  <si>
    <t>Put formula "=ROWS(TOCOL(Data!H1:H2,2))" into cell A152.</t>
  </si>
  <si>
    <t>Put formula "=TOCOL(Data!B6,1)" into cell A153.</t>
  </si>
  <si>
    <t>Put formula "=COLUMNS(TOROW(Data!E1:F3))" into cell A154.</t>
  </si>
  <si>
    <t>Put formula "=INDEX(TOROW(Data!E1:F3),1,3)" into cell A155.</t>
  </si>
  <si>
    <t>Put formula "=INDEX(WRAPROWS(Data!A1:A6,4),2,3)" into cell A156.</t>
  </si>
  <si>
    <t>Put formula "=INDEX(WRAPROWS(Data!A1:A6,4,0),2,3)" into cell A157.</t>
  </si>
  <si>
    <t>Put formula "=WRAPROWS(Data!E1:F3,2)" into cell A158.</t>
  </si>
  <si>
    <t>Put formula "=WRAPROWS(Data!A1:A6,0)" into cell A159.</t>
  </si>
  <si>
    <t>Put formula "=INDEX(WRAPCOLS(Data!A1:A6,4),3,1)" into cell A160.</t>
  </si>
  <si>
    <t>Put formula "=ROWS(WRAPCOLS(Data!A1:A6,4))" into cell A161.</t>
  </si>
  <si>
    <t>Put formula "=INDEX(EXPAND(Data!E1:F3,4,3),4,3)" into cell A162.</t>
  </si>
  <si>
    <t>Put formula "=INDEX(EXPAND(Data!E1:F3,4,3,""-""),1,3)" into cell A163.</t>
  </si>
  <si>
    <t>Put formula "=EXPAND(Data!E1:F3,2,2)" into cell A164.</t>
  </si>
  <si>
    <t>Put formula "=ROWS(EXPAND({1},3))" into cell A165.</t>
  </si>
  <si>
    <t>Put formula "=SUM(Data!A1:A6*Data!C1:C6)+ROWS(SEQUENCE(1))-1" into cell A166.</t>
  </si>
  <si>
    <t>Put formula "=SUM(LEN(Data!B1:B6))+ROWS(SEQUENCE(1))-1" into cell A167.</t>
  </si>
  <si>
    <t>Put formula "=SUM(IF(Data!A1:A6&gt;2,Data!C1:C6,0))+ROWS(SEQUENCE(1))-1" into cell A168.</t>
  </si>
  <si>
    <t>Put formula "=SUM(ROW(Data!A1:A6))+ROWS(SEQUENCE(1))-1" into cell A169.</t>
  </si>
  <si>
    <t>Put formula "=SUM(ISBLANK(Data!B1:B6)*1)+ROWS(SEQUENCE(1))-1" into cell A170.</t>
  </si>
  <si>
    <t>Put formula "=SUM((Data!B1:B6="""")*1)+ROWS(SEQUENCE(1))-1" into cell A171.</t>
  </si>
  <si>
    <t>Put formula "=SUM(CHOOSE({1,2},Data!A1:A6,Data!C1:C6))+ROWS(SEQUENCE(1))-1" into cell A172.</t>
  </si>
  <si>
    <t>Put formula "=MAX(INDEX(Data!A1:A6*Data!C1:C6,0,1))" into cell A173.</t>
  </si>
  <si>
    <t>Put formula "=SUM(INDEX(Data!C1:C6,{1,6}))" into cell A174.</t>
  </si>
  <si>
    <t>Put formula "=SUM(INDEX({10,20,30},{1,3}))" into cell A175.</t>
  </si>
  <si>
    <t>Put formula "=SINGLE(SEQUENCE(3)*2)" into cell A176.</t>
  </si>
  <si>
    <t>Put formula "=XLOOKUP(4,Data!A1:A6,Data!C1:C6)" into cell A177.</t>
  </si>
  <si>
    <t>Put formula "=XLOOKUP(5,SEQUENCE(6),Data!C1:C6)" into cell A178.</t>
  </si>
  <si>
    <t>Put formula "=SUM(XLOOKUP({1,9},Data!A1:A6,Data!C1:C6))" into cell A179.</t>
  </si>
  <si>
    <t>Put formula "=XLOOKUP(2,{1,2,3},{""a"",""b"",""c""})" into cell A180.</t>
  </si>
  <si>
    <t>Put formula "=MATCH(5,SORT(Data!A1:A6),0)" into cell A181.</t>
  </si>
  <si>
    <t>Put formula "=VLOOKUP(4,SORT(Data!A1:C6),3,FALSE)" into cell A182.</t>
  </si>
  <si>
    <t>Put formula "=LOOKUP(4.5,SORT(Data!A1:A6),SEQUENCE(6))" into cell A183.</t>
  </si>
  <si>
    <t>Put formula "=INDEX({10,20;30,40},2,1)" into cell A184.</t>
  </si>
  <si>
    <t>Put formula "=CONCAT(SEQUENCE(3))" into cell A185.</t>
  </si>
  <si>
    <t>Put formula "=TEXTJOIN(""-"",FALSE,{""a"","""",TRUE})" into cell A186.</t>
  </si>
  <si>
    <t>Put formula "=SUM(Data!A1:INDEX(Data!A1:A6,3))" into cell A187.</t>
  </si>
  <si>
    <t>Put formula "=SUM(INDEX(Data!A1:A6,2):INDEX(Data!A1:A6,4))" into cell A188.</t>
  </si>
  <si>
    <t>Put formula "=ROWS(Data!A1:INDEX(Data!A:A,4))" into cell A189.</t>
  </si>
  <si>
    <t>Put formula "=SUM(Data!A1:INDEX(Data!C1:C6,2))" into cell A190.</t>
  </si>
  <si>
    <t>Put formula "=SUM(Data!A1:INDEX(Data!A1:A6,7))" into cell A191.</t>
  </si>
  <si>
    <t>Put formula "=SUM(Data!A1:IF(TRUE,Data!A3,Data!A5))" into cell A192.</t>
  </si>
  <si>
    <t>Put formula "=SUM(Data!A1:CHOOSE(2,Data!A2,Data!A6))" into cell A193.</t>
  </si>
  <si>
    <t>Put formula "=ROWS(Data!A2:Data!A5)" into cell A194.</t>
  </si>
  <si>
    <t>Put formula "=SUM(SEQUENCE(2000000))" into cell A195.</t>
  </si>
  <si>
    <t>Put formula "=INDEX(SORT({#N/A;TRUE;1;""a""}),3)" into cell A196.</t>
  </si>
  <si>
    <t>Put formula "=INDEX(SORT({#N/A;TRUE;1;""a""},1,-1),2)" into cell A197.</t>
  </si>
  <si>
    <t>Put formula "=SUM(IFNA(MOD({5,6,7},{2,3}),100))" into cell A198.</t>
  </si>
  <si>
    <t>Put formula "=TEXTJOIN("","",TRUE,SORTBY(SEQUENCE(40),MOD(SEQUENCE(40),2)))" into cell A199.</t>
  </si>
  <si>
    <t>Put formula "=SUM(IFERROR(SEQUENCE(1,3)/{1,0,1},{10,20}))" into cell A200.</t>
  </si>
  <si>
    <t>Put formula "=SUM(VLOOKUP(3,Data!A1:C6,SEQUENCE(1,2,1,2),FALSE))" into cell A201.</t>
  </si>
  <si>
    <t>Put formula "=SUM(HLOOKUP(1,{1,2;10,20},{1,2},FALSE))" into cell A202.</t>
  </si>
  <si>
    <t>Put formula "=SUM(VLOOKUP({3,4},Data!A1:C6,3,FALSE))" into cell A203.</t>
  </si>
  <si>
    <t>Put formula "=SUM(MATCH({4,9},Data!A1:A6,0))" into cell A204.</t>
  </si>
  <si>
    <t>Put formula "=SUM(LOOKUP({1,5},{1,5,9},{10,50,90}))" into cell A205.</t>
  </si>
  <si>
    <t>Put formula "=SUMPRODUCT(IF(Data!A1:A6&gt;2,1,0))" into cell A206.</t>
  </si>
  <si>
    <t>Put formula "=SUMPRODUCT(IFERROR(1/(Data!A1:A6-1),0))" into cell A207.</t>
  </si>
  <si>
    <t>Put formula "=SUM(CHOOSE({2,2,2},{10,20},5))" into cell A208.</t>
  </si>
  <si>
    <t>Put formula "=SUM(IF(SEQUENCE(1,3)&gt;5,{1,2},7))" into cell A209.</t>
  </si>
  <si>
    <t>Put formula "=SUMPRODUCT(IF(Data!A1:A6&gt;2,SEQUENCE(6)^0,0))" into cell A210.</t>
  </si>
  <si>
    <t>Put formula "=COUNTA(SORT(Data!B1:B6))" into cell A211.</t>
  </si>
  <si>
    <t>Put formula "=COUNT(TRANSPOSE(Data!D1:D6))" into cell A212.</t>
  </si>
  <si>
    <t>Put formula "=LEN(TEXTJOIN("","",TRUE,REPT(""x"",20000),REPT(""y"",20000)))" into cell A213.</t>
  </si>
  <si>
    <t>Put formula "=LEN(CONCAT(REPT(""x"",20000),REPT(""y"",20000)))" into cell A214.</t>
  </si>
  <si>
    <t>pear</t>
  </si>
  <si>
    <t>Apple</t>
  </si>
  <si>
    <t>x</t>
  </si>
  <si>
    <t>fig</t>
  </si>
  <si>
    <t>apple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</si>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</sst>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13</v>
    <v>3</v>
  </rv>
  <rv s="1">
    <v>13</v>
    <v>605</v>
    <v>9</v>
  </rv>
  <rv s="1">
    <v>13</v>
    <v>606</v>
    <v>9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iftab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56"/>
  <sheetViews>
    <sheetView showGridLines="0" topLeftCell="B1" workbookViewId="0">
      <selection activeCell="B1" sqref="B1"/>
    </sheetView>
  </sheetViews>
  <sheetFormatPr defaultRowHeight="14.5" x14ac:dyDescent="0.35"/>
  <cols>
    <col min="1" max="1" width="0" hidden="1" customWidth="1"/>
    <col min="2" max="2" width="72.7265625" style="1" customWidth="1"/>
    <col min="3" max="3" width="60.7265625" style="2" customWidth="1"/>
  </cols>
  <sheetData>
    <row r="1" spans="2:3" x14ac:dyDescent="0.35">
      <c r="B1" s="1" t="s">
        <v>0</v>
      </c>
      <c r="C1" s="3" t="s">
        <v>1</v>
      </c>
    </row>
    <row r="2" spans="2:3" x14ac:dyDescent="0.35">
      <c r="B2" s="1" t="s">
        <v>2</v>
      </c>
      <c r="C2" s="3" t="s">
        <v>1</v>
      </c>
    </row>
    <row r="3" spans="2:3" x14ac:dyDescent="0.35">
      <c r="B3" s="1" t="s">
        <v>3</v>
      </c>
      <c r="C3" s="3" t="s">
        <v>1</v>
      </c>
    </row>
    <row r="4" spans="2:3" x14ac:dyDescent="0.35">
      <c r="B4" s="1" t="s">
        <v>4</v>
      </c>
      <c r="C4" s="3" t="s">
        <v>1</v>
      </c>
    </row>
    <row r="5" spans="2:3" x14ac:dyDescent="0.35">
      <c r="B5" s="1" t="s">
        <v>5</v>
      </c>
      <c r="C5" s="3" t="s">
        <v>1</v>
      </c>
    </row>
    <row r="6" spans="2:3" x14ac:dyDescent="0.35">
      <c r="B6" s="1" t="s">
        <v>6</v>
      </c>
      <c r="C6" s="3" t="s">
        <v>1</v>
      </c>
    </row>
    <row r="7" spans="2:3" x14ac:dyDescent="0.35">
      <c r="B7" s="1" t="s">
        <v>7</v>
      </c>
      <c r="C7" s="3" t="s">
        <v>1</v>
      </c>
    </row>
    <row r="8" spans="2:3" x14ac:dyDescent="0.35">
      <c r="B8" s="1" t="s">
        <v>8</v>
      </c>
      <c r="C8" s="3" t="s">
        <v>1</v>
      </c>
    </row>
    <row r="9" spans="2:3" x14ac:dyDescent="0.35">
      <c r="B9" s="1" t="s">
        <v>9</v>
      </c>
      <c r="C9" s="3" t="s">
        <v>1</v>
      </c>
    </row>
    <row r="10" spans="2:3" x14ac:dyDescent="0.35">
      <c r="B10" s="1" t="s">
        <v>10</v>
      </c>
      <c r="C10" s="3" t="s">
        <v>1</v>
      </c>
    </row>
    <row r="11" spans="2:3" x14ac:dyDescent="0.35">
      <c r="B11" s="1" t="s">
        <v>11</v>
      </c>
      <c r="C11" s="3" t="s">
        <v>1</v>
      </c>
    </row>
    <row r="13" spans="2:3" x14ac:dyDescent="0.35">
      <c r="B13" s="1" t="s">
        <v>12</v>
      </c>
      <c r="C13" s="3" t="s">
        <v>1</v>
      </c>
    </row>
    <row r="14" spans="2:3" x14ac:dyDescent="0.35">
      <c r="B14" s="1" t="s">
        <v>13</v>
      </c>
      <c r="C14" s="3" t="s">
        <v>1</v>
      </c>
    </row>
    <row r="15" spans="2:3" x14ac:dyDescent="0.35">
      <c r="B15" s="1" t="s">
        <v>14</v>
      </c>
      <c r="C15" s="3" t="s">
        <v>1</v>
      </c>
    </row>
    <row r="16" spans="2:3" x14ac:dyDescent="0.35">
      <c r="B16" s="1" t="s">
        <v>15</v>
      </c>
      <c r="C16" s="3" t="s">
        <v>1</v>
      </c>
    </row>
    <row r="17" spans="2:3" x14ac:dyDescent="0.35">
      <c r="B17" s="1" t="s">
        <v>16</v>
      </c>
      <c r="C17" s="3" t="s">
        <v>1</v>
      </c>
    </row>
    <row r="18" spans="2:3" x14ac:dyDescent="0.35">
      <c r="B18" s="1" t="s">
        <v>17</v>
      </c>
      <c r="C18" s="3" t="s">
        <v>1</v>
      </c>
    </row>
    <row r="19" spans="2:3" x14ac:dyDescent="0.35">
      <c r="B19" s="1" t="s">
        <v>18</v>
      </c>
      <c r="C19" s="3" t="s">
        <v>1</v>
      </c>
    </row>
    <row r="20" spans="2:3" x14ac:dyDescent="0.35">
      <c r="B20" s="1" t="s">
        <v>19</v>
      </c>
      <c r="C20" s="3" t="s">
        <v>1</v>
      </c>
    </row>
    <row r="21" spans="2:3" x14ac:dyDescent="0.35">
      <c r="B21" s="1" t="s">
        <v>20</v>
      </c>
      <c r="C21" s="3" t="s">
        <v>1</v>
      </c>
    </row>
    <row r="22" spans="2:3" x14ac:dyDescent="0.35">
      <c r="B22" s="1" t="s">
        <v>21</v>
      </c>
      <c r="C22" s="3" t="s">
        <v>1</v>
      </c>
    </row>
    <row r="23" spans="2:3" x14ac:dyDescent="0.35">
      <c r="B23" s="1" t="s">
        <v>22</v>
      </c>
      <c r="C23" s="3" t="s">
        <v>1</v>
      </c>
    </row>
    <row r="24" spans="2:3" x14ac:dyDescent="0.35">
      <c r="B24" s="1" t="s">
        <v>23</v>
      </c>
      <c r="C24" s="3" t="s">
        <v>1</v>
      </c>
    </row>
    <row r="25" spans="2:3" x14ac:dyDescent="0.35">
      <c r="B25" s="1" t="s">
        <v>24</v>
      </c>
      <c r="C25" s="3" t="s">
        <v>1</v>
      </c>
    </row>
    <row r="26" spans="2:3" x14ac:dyDescent="0.35">
      <c r="B26" s="1" t="s">
        <v>25</v>
      </c>
      <c r="C26" s="3" t="s">
        <v>1</v>
      </c>
    </row>
    <row r="27" spans="2:3" x14ac:dyDescent="0.35">
      <c r="B27" s="1" t="s">
        <v>26</v>
      </c>
      <c r="C27" s="3" t="s">
        <v>1</v>
      </c>
    </row>
    <row r="28" spans="2:3" x14ac:dyDescent="0.35">
      <c r="B28" s="1" t="s">
        <v>27</v>
      </c>
      <c r="C28" s="3" t="s">
        <v>1</v>
      </c>
    </row>
    <row r="29" spans="2:3" x14ac:dyDescent="0.35">
      <c r="B29" s="1" t="s">
        <v>28</v>
      </c>
      <c r="C29" s="3" t="s">
        <v>1</v>
      </c>
    </row>
    <row r="30" spans="2:3" x14ac:dyDescent="0.35">
      <c r="B30" s="1" t="s">
        <v>29</v>
      </c>
      <c r="C30" s="3" t="s">
        <v>1</v>
      </c>
    </row>
    <row r="31" spans="2:3" x14ac:dyDescent="0.35">
      <c r="B31" s="1" t="s">
        <v>30</v>
      </c>
      <c r="C31" s="3" t="s">
        <v>1</v>
      </c>
    </row>
    <row r="32" spans="2:3" x14ac:dyDescent="0.35">
      <c r="B32" s="1" t="s">
        <v>31</v>
      </c>
      <c r="C32" s="3" t="s">
        <v>1</v>
      </c>
    </row>
    <row r="33" spans="2:3" x14ac:dyDescent="0.35">
      <c r="B33" s="1" t="s">
        <v>32</v>
      </c>
      <c r="C33" s="3" t="s">
        <v>1</v>
      </c>
    </row>
    <row r="34" spans="2:3" x14ac:dyDescent="0.35">
      <c r="B34" s="1" t="s">
        <v>33</v>
      </c>
      <c r="C34" s="3" t="s">
        <v>1</v>
      </c>
    </row>
    <row r="35" spans="2:3" x14ac:dyDescent="0.35">
      <c r="B35" s="1" t="s">
        <v>34</v>
      </c>
      <c r="C35" s="3" t="s">
        <v>1</v>
      </c>
    </row>
    <row r="36" spans="2:3" x14ac:dyDescent="0.35">
      <c r="B36" s="1" t="s">
        <v>35</v>
      </c>
      <c r="C36" s="3" t="s">
        <v>1</v>
      </c>
    </row>
    <row r="37" spans="2:3" x14ac:dyDescent="0.35">
      <c r="B37" s="1" t="s">
        <v>36</v>
      </c>
      <c r="C37" s="3" t="s">
        <v>1</v>
      </c>
    </row>
    <row r="38" spans="2:3" x14ac:dyDescent="0.35">
      <c r="B38" s="1" t="s">
        <v>37</v>
      </c>
      <c r="C38" s="3" t="s">
        <v>1</v>
      </c>
    </row>
    <row r="39" spans="2:3" x14ac:dyDescent="0.35">
      <c r="B39" s="1" t="s">
        <v>38</v>
      </c>
      <c r="C39" s="3" t="s">
        <v>1</v>
      </c>
    </row>
    <row r="40" spans="2:3" x14ac:dyDescent="0.35">
      <c r="B40" s="1" t="s">
        <v>39</v>
      </c>
      <c r="C40" s="3" t="s">
        <v>1</v>
      </c>
    </row>
    <row r="41" spans="2:3" x14ac:dyDescent="0.35">
      <c r="B41" s="1" t="s">
        <v>40</v>
      </c>
      <c r="C41" s="3" t="s">
        <v>1</v>
      </c>
    </row>
    <row r="42" spans="2:3" x14ac:dyDescent="0.35">
      <c r="B42" s="1" t="s">
        <v>41</v>
      </c>
      <c r="C42" s="3" t="s">
        <v>1</v>
      </c>
    </row>
    <row r="43" spans="2:3" x14ac:dyDescent="0.35">
      <c r="B43" s="1" t="s">
        <v>42</v>
      </c>
      <c r="C43" s="3" t="s">
        <v>1</v>
      </c>
    </row>
    <row r="44" spans="2:3" x14ac:dyDescent="0.35">
      <c r="B44" s="1" t="s">
        <v>43</v>
      </c>
      <c r="C44" s="3" t="s">
        <v>1</v>
      </c>
    </row>
    <row r="45" spans="2:3" x14ac:dyDescent="0.35">
      <c r="B45" s="1" t="s">
        <v>44</v>
      </c>
      <c r="C45" s="3" t="s">
        <v>1</v>
      </c>
    </row>
    <row r="46" spans="2:3" x14ac:dyDescent="0.35">
      <c r="B46" s="1" t="s">
        <v>45</v>
      </c>
      <c r="C46" s="3" t="s">
        <v>1</v>
      </c>
    </row>
    <row r="47" spans="2:3" x14ac:dyDescent="0.35">
      <c r="B47" s="1" t="s">
        <v>46</v>
      </c>
      <c r="C47" s="3" t="s">
        <v>1</v>
      </c>
    </row>
    <row r="49" spans="2:3" x14ac:dyDescent="0.35">
      <c r="B49" s="1" t="s">
        <v>47</v>
      </c>
      <c r="C49" s="3" t="s">
        <v>1</v>
      </c>
    </row>
    <row r="50" spans="2:3" x14ac:dyDescent="0.35">
      <c r="B50" s="1" t="s">
        <v>48</v>
      </c>
      <c r="C50" s="3" t="s">
        <v>1</v>
      </c>
    </row>
    <row r="51" spans="2:3" x14ac:dyDescent="0.35">
      <c r="B51" s="1" t="s">
        <v>49</v>
      </c>
      <c r="C51" s="3" t="s">
        <v>1</v>
      </c>
    </row>
    <row r="52" spans="2:3" x14ac:dyDescent="0.35">
      <c r="B52" s="1" t="s">
        <v>50</v>
      </c>
      <c r="C52" s="3" t="s">
        <v>1</v>
      </c>
    </row>
    <row r="53" spans="2:3" x14ac:dyDescent="0.35">
      <c r="B53" s="1" t="s">
        <v>51</v>
      </c>
      <c r="C53" s="3" t="s">
        <v>1</v>
      </c>
    </row>
    <row r="54" spans="2:3" x14ac:dyDescent="0.35">
      <c r="B54" s="1" t="s">
        <v>52</v>
      </c>
      <c r="C54" s="3" t="s">
        <v>1</v>
      </c>
    </row>
    <row r="55" spans="2:3" x14ac:dyDescent="0.35">
      <c r="B55" s="1" t="s">
        <v>53</v>
      </c>
      <c r="C55" s="3" t="s">
        <v>1</v>
      </c>
    </row>
    <row r="56" spans="2:3" x14ac:dyDescent="0.35">
      <c r="B56" s="1" t="s">
        <v>54</v>
      </c>
      <c r="C56" s="3" t="s">
        <v>1</v>
      </c>
    </row>
    <row r="57" spans="2:3" x14ac:dyDescent="0.35">
      <c r="B57" s="1" t="s">
        <v>55</v>
      </c>
      <c r="C57" s="3" t="s">
        <v>1</v>
      </c>
    </row>
    <row r="58" spans="2:3" x14ac:dyDescent="0.35">
      <c r="B58" s="1" t="s">
        <v>56</v>
      </c>
      <c r="C58" s="3" t="s">
        <v>1</v>
      </c>
    </row>
    <row r="59" spans="2:3" x14ac:dyDescent="0.35">
      <c r="B59" s="1" t="s">
        <v>57</v>
      </c>
      <c r="C59" s="3" t="s">
        <v>1</v>
      </c>
    </row>
    <row r="60" spans="2:3" x14ac:dyDescent="0.35">
      <c r="B60" s="1" t="s">
        <v>58</v>
      </c>
      <c r="C60" s="3" t="s">
        <v>1</v>
      </c>
    </row>
    <row r="61" spans="2:3" x14ac:dyDescent="0.35">
      <c r="B61" s="1" t="s">
        <v>59</v>
      </c>
      <c r="C61" s="3" t="s">
        <v>1</v>
      </c>
    </row>
    <row r="62" spans="2:3" x14ac:dyDescent="0.35">
      <c r="B62" s="1" t="s">
        <v>60</v>
      </c>
      <c r="C62" s="3" t="s">
        <v>1</v>
      </c>
    </row>
    <row r="63" spans="2:3" x14ac:dyDescent="0.35">
      <c r="B63" s="1" t="s">
        <v>61</v>
      </c>
      <c r="C63" s="3" t="s">
        <v>1</v>
      </c>
    </row>
    <row r="64" spans="2:3" x14ac:dyDescent="0.35">
      <c r="B64" s="1" t="s">
        <v>62</v>
      </c>
      <c r="C64" s="3" t="s">
        <v>1</v>
      </c>
    </row>
    <row r="65" spans="2:3" x14ac:dyDescent="0.35">
      <c r="B65" s="1" t="s">
        <v>63</v>
      </c>
      <c r="C65" s="3" t="s">
        <v>1</v>
      </c>
    </row>
    <row r="66" spans="2:3" x14ac:dyDescent="0.35">
      <c r="B66" s="1" t="s">
        <v>64</v>
      </c>
      <c r="C66" s="3" t="s">
        <v>1</v>
      </c>
    </row>
    <row r="67" spans="2:3" x14ac:dyDescent="0.35">
      <c r="B67" s="1" t="s">
        <v>65</v>
      </c>
      <c r="C67" s="3" t="s">
        <v>1</v>
      </c>
    </row>
    <row r="68" spans="2:3" x14ac:dyDescent="0.35">
      <c r="B68" s="1" t="s">
        <v>66</v>
      </c>
      <c r="C68" s="3" t="s">
        <v>1</v>
      </c>
    </row>
    <row r="69" spans="2:3" x14ac:dyDescent="0.35">
      <c r="B69" s="1" t="s">
        <v>67</v>
      </c>
      <c r="C69" s="3" t="s">
        <v>1</v>
      </c>
    </row>
    <row r="70" spans="2:3" x14ac:dyDescent="0.35">
      <c r="B70" s="1" t="s">
        <v>68</v>
      </c>
      <c r="C70" s="3" t="s">
        <v>1</v>
      </c>
    </row>
    <row r="71" spans="2:3" x14ac:dyDescent="0.35">
      <c r="B71" s="1" t="s">
        <v>69</v>
      </c>
      <c r="C71" s="3" t="s">
        <v>1</v>
      </c>
    </row>
    <row r="72" spans="2:3" x14ac:dyDescent="0.35">
      <c r="B72" s="1" t="s">
        <v>70</v>
      </c>
      <c r="C72" s="3" t="s">
        <v>1</v>
      </c>
    </row>
    <row r="73" spans="2:3" x14ac:dyDescent="0.35">
      <c r="B73" s="1" t="s">
        <v>71</v>
      </c>
      <c r="C73" s="3" t="s">
        <v>1</v>
      </c>
    </row>
    <row r="74" spans="2:3" x14ac:dyDescent="0.35">
      <c r="B74" s="1" t="s">
        <v>72</v>
      </c>
      <c r="C74" s="3" t="s">
        <v>1</v>
      </c>
    </row>
    <row r="75" spans="2:3" x14ac:dyDescent="0.35">
      <c r="B75" s="1" t="s">
        <v>73</v>
      </c>
      <c r="C75" s="3" t="s">
        <v>1</v>
      </c>
    </row>
    <row r="76" spans="2:3" x14ac:dyDescent="0.35">
      <c r="B76" s="1" t="s">
        <v>74</v>
      </c>
      <c r="C76" s="3" t="s">
        <v>1</v>
      </c>
    </row>
    <row r="77" spans="2:3" x14ac:dyDescent="0.35">
      <c r="B77" s="1" t="s">
        <v>75</v>
      </c>
      <c r="C77" s="3" t="s">
        <v>1</v>
      </c>
    </row>
    <row r="78" spans="2:3" x14ac:dyDescent="0.35">
      <c r="B78" s="1" t="s">
        <v>76</v>
      </c>
      <c r="C78" s="3" t="s">
        <v>1</v>
      </c>
    </row>
    <row r="79" spans="2:3" x14ac:dyDescent="0.35">
      <c r="B79" s="1" t="s">
        <v>77</v>
      </c>
      <c r="C79" s="3" t="s">
        <v>1</v>
      </c>
    </row>
    <row r="80" spans="2:3" x14ac:dyDescent="0.35">
      <c r="B80" s="1" t="s">
        <v>78</v>
      </c>
      <c r="C80" s="3" t="s">
        <v>1</v>
      </c>
    </row>
    <row r="81" spans="2:3" x14ac:dyDescent="0.35">
      <c r="B81" s="1" t="s">
        <v>79</v>
      </c>
      <c r="C81" s="3" t="s">
        <v>1</v>
      </c>
    </row>
    <row r="82" spans="2:3" x14ac:dyDescent="0.35">
      <c r="B82" s="1" t="s">
        <v>80</v>
      </c>
      <c r="C82" s="3" t="s">
        <v>1</v>
      </c>
    </row>
    <row r="83" spans="2:3" x14ac:dyDescent="0.35">
      <c r="B83" s="1" t="s">
        <v>81</v>
      </c>
      <c r="C83" s="3" t="s">
        <v>1</v>
      </c>
    </row>
    <row r="84" spans="2:3" x14ac:dyDescent="0.35">
      <c r="B84" s="1" t="s">
        <v>82</v>
      </c>
      <c r="C84" s="3" t="s">
        <v>1</v>
      </c>
    </row>
    <row r="85" spans="2:3" x14ac:dyDescent="0.35">
      <c r="B85" s="1" t="s">
        <v>83</v>
      </c>
      <c r="C85" s="3" t="s">
        <v>1</v>
      </c>
    </row>
    <row r="86" spans="2:3" x14ac:dyDescent="0.35">
      <c r="B86" s="1" t="s">
        <v>84</v>
      </c>
      <c r="C86" s="3" t="s">
        <v>1</v>
      </c>
    </row>
    <row r="87" spans="2:3" x14ac:dyDescent="0.35">
      <c r="B87" s="1" t="s">
        <v>85</v>
      </c>
      <c r="C87" s="3" t="s">
        <v>1</v>
      </c>
    </row>
    <row r="88" spans="2:3" x14ac:dyDescent="0.35">
      <c r="B88" s="1" t="s">
        <v>86</v>
      </c>
      <c r="C88" s="3" t="s">
        <v>1</v>
      </c>
    </row>
    <row r="89" spans="2:3" x14ac:dyDescent="0.35">
      <c r="B89" s="1" t="s">
        <v>87</v>
      </c>
      <c r="C89" s="3" t="s">
        <v>1</v>
      </c>
    </row>
    <row r="90" spans="2:3" x14ac:dyDescent="0.35">
      <c r="B90" s="1" t="s">
        <v>88</v>
      </c>
      <c r="C90" s="3" t="s">
        <v>1</v>
      </c>
    </row>
    <row r="91" spans="2:3" x14ac:dyDescent="0.35">
      <c r="B91" s="1" t="s">
        <v>89</v>
      </c>
      <c r="C91" s="3" t="s">
        <v>1</v>
      </c>
    </row>
    <row r="92" spans="2:3" x14ac:dyDescent="0.35">
      <c r="B92" s="1" t="s">
        <v>90</v>
      </c>
      <c r="C92" s="3" t="s">
        <v>1</v>
      </c>
    </row>
    <row r="93" spans="2:3" x14ac:dyDescent="0.35">
      <c r="B93" s="1" t="s">
        <v>91</v>
      </c>
      <c r="C93" s="3" t="s">
        <v>1</v>
      </c>
    </row>
    <row r="94" spans="2:3" x14ac:dyDescent="0.35">
      <c r="B94" s="1" t="s">
        <v>92</v>
      </c>
      <c r="C94" s="3" t="s">
        <v>1</v>
      </c>
    </row>
    <row r="95" spans="2:3" x14ac:dyDescent="0.35">
      <c r="B95" s="1" t="s">
        <v>93</v>
      </c>
      <c r="C95" s="3" t="s">
        <v>1</v>
      </c>
    </row>
    <row r="96" spans="2:3" x14ac:dyDescent="0.35">
      <c r="B96" s="1" t="s">
        <v>94</v>
      </c>
      <c r="C96" s="3" t="s">
        <v>1</v>
      </c>
    </row>
    <row r="97" spans="2:3" x14ac:dyDescent="0.35">
      <c r="B97" s="1" t="s">
        <v>95</v>
      </c>
      <c r="C97" s="3" t="s">
        <v>1</v>
      </c>
    </row>
    <row r="98" spans="2:3" x14ac:dyDescent="0.35">
      <c r="B98" s="1" t="s">
        <v>96</v>
      </c>
      <c r="C98" s="3" t="s">
        <v>1</v>
      </c>
    </row>
    <row r="99" spans="2:3" x14ac:dyDescent="0.35">
      <c r="B99" s="1" t="s">
        <v>97</v>
      </c>
      <c r="C99" s="3" t="s">
        <v>1</v>
      </c>
    </row>
    <row r="100" spans="2:3" x14ac:dyDescent="0.35">
      <c r="B100" s="1" t="s">
        <v>98</v>
      </c>
      <c r="C100" s="3" t="s">
        <v>1</v>
      </c>
    </row>
    <row r="101" spans="2:3" x14ac:dyDescent="0.35">
      <c r="B101" s="1" t="s">
        <v>99</v>
      </c>
      <c r="C101" s="3" t="s">
        <v>1</v>
      </c>
    </row>
    <row r="102" spans="2:3" x14ac:dyDescent="0.35">
      <c r="B102" s="1" t="s">
        <v>100</v>
      </c>
      <c r="C102" s="3" t="s">
        <v>1</v>
      </c>
    </row>
    <row r="103" spans="2:3" x14ac:dyDescent="0.35">
      <c r="B103" s="1" t="s">
        <v>101</v>
      </c>
      <c r="C103" s="3" t="s">
        <v>1</v>
      </c>
    </row>
    <row r="104" spans="2:3" x14ac:dyDescent="0.35">
      <c r="B104" s="1" t="s">
        <v>102</v>
      </c>
      <c r="C104" s="3" t="s">
        <v>1</v>
      </c>
    </row>
    <row r="105" spans="2:3" x14ac:dyDescent="0.35">
      <c r="B105" s="1" t="s">
        <v>103</v>
      </c>
      <c r="C105" s="3" t="s">
        <v>1</v>
      </c>
    </row>
    <row r="106" spans="2:3" x14ac:dyDescent="0.35">
      <c r="B106" s="1" t="s">
        <v>104</v>
      </c>
      <c r="C106" s="3" t="s">
        <v>1</v>
      </c>
    </row>
    <row r="107" spans="2:3" x14ac:dyDescent="0.35">
      <c r="B107" s="1" t="s">
        <v>105</v>
      </c>
      <c r="C107" s="3" t="s">
        <v>1</v>
      </c>
    </row>
    <row r="108" spans="2:3" x14ac:dyDescent="0.35">
      <c r="B108" s="1" t="s">
        <v>106</v>
      </c>
      <c r="C108" s="3" t="s">
        <v>1</v>
      </c>
    </row>
    <row r="109" spans="2:3" x14ac:dyDescent="0.35">
      <c r="B109" s="1" t="s">
        <v>107</v>
      </c>
      <c r="C109" s="3" t="s">
        <v>1</v>
      </c>
    </row>
    <row r="110" spans="2:3" x14ac:dyDescent="0.35">
      <c r="B110" s="1" t="s">
        <v>108</v>
      </c>
      <c r="C110" s="3" t="s">
        <v>1</v>
      </c>
    </row>
    <row r="111" spans="2:3" x14ac:dyDescent="0.35">
      <c r="B111" s="1" t="s">
        <v>109</v>
      </c>
      <c r="C111" s="3" t="s">
        <v>1</v>
      </c>
    </row>
    <row r="112" spans="2:3" x14ac:dyDescent="0.35">
      <c r="B112" s="1" t="s">
        <v>110</v>
      </c>
      <c r="C112" s="3" t="s">
        <v>1</v>
      </c>
    </row>
    <row r="113" spans="2:3" x14ac:dyDescent="0.35">
      <c r="B113" s="1" t="s">
        <v>111</v>
      </c>
      <c r="C113" s="3" t="s">
        <v>1</v>
      </c>
    </row>
    <row r="114" spans="2:3" x14ac:dyDescent="0.35">
      <c r="B114" s="1" t="s">
        <v>112</v>
      </c>
      <c r="C114" s="3" t="s">
        <v>1</v>
      </c>
    </row>
    <row r="115" spans="2:3" x14ac:dyDescent="0.35">
      <c r="B115" s="1" t="s">
        <v>113</v>
      </c>
      <c r="C115" s="3" t="s">
        <v>1</v>
      </c>
    </row>
    <row r="116" spans="2:3" x14ac:dyDescent="0.35">
      <c r="B116" s="1" t="s">
        <v>114</v>
      </c>
      <c r="C116" s="3" t="s">
        <v>1</v>
      </c>
    </row>
    <row r="117" spans="2:3" x14ac:dyDescent="0.35">
      <c r="B117" s="1" t="s">
        <v>115</v>
      </c>
      <c r="C117" s="3" t="s">
        <v>1</v>
      </c>
    </row>
    <row r="118" spans="2:3" x14ac:dyDescent="0.35">
      <c r="B118" s="1" t="s">
        <v>116</v>
      </c>
      <c r="C118" s="3" t="s">
        <v>1</v>
      </c>
    </row>
    <row r="119" spans="2:3" x14ac:dyDescent="0.35">
      <c r="B119" s="1" t="s">
        <v>117</v>
      </c>
      <c r="C119" s="3" t="s">
        <v>1</v>
      </c>
    </row>
    <row r="120" spans="2:3" x14ac:dyDescent="0.35">
      <c r="B120" s="1" t="s">
        <v>118</v>
      </c>
      <c r="C120" s="3" t="s">
        <v>1</v>
      </c>
    </row>
    <row r="121" spans="2:3" x14ac:dyDescent="0.35">
      <c r="B121" s="1" t="s">
        <v>119</v>
      </c>
      <c r="C121" s="3" t="s">
        <v>1</v>
      </c>
    </row>
    <row r="122" spans="2:3" x14ac:dyDescent="0.35">
      <c r="B122" s="1" t="s">
        <v>120</v>
      </c>
      <c r="C122" s="3" t="s">
        <v>1</v>
      </c>
    </row>
    <row r="123" spans="2:3" x14ac:dyDescent="0.35">
      <c r="B123" s="1" t="s">
        <v>121</v>
      </c>
      <c r="C123" s="3" t="s">
        <v>1</v>
      </c>
    </row>
    <row r="124" spans="2:3" x14ac:dyDescent="0.35">
      <c r="B124" s="1" t="s">
        <v>122</v>
      </c>
      <c r="C124" s="3" t="s">
        <v>1</v>
      </c>
    </row>
    <row r="125" spans="2:3" x14ac:dyDescent="0.35">
      <c r="B125" s="1" t="s">
        <v>123</v>
      </c>
      <c r="C125" s="3" t="s">
        <v>1</v>
      </c>
    </row>
    <row r="126" spans="2:3" x14ac:dyDescent="0.35">
      <c r="B126" s="1" t="s">
        <v>124</v>
      </c>
      <c r="C126" s="3" t="s">
        <v>1</v>
      </c>
    </row>
    <row r="127" spans="2:3" x14ac:dyDescent="0.35">
      <c r="B127" s="1" t="s">
        <v>125</v>
      </c>
      <c r="C127" s="3" t="s">
        <v>1</v>
      </c>
    </row>
    <row r="128" spans="2:3" x14ac:dyDescent="0.35">
      <c r="B128" s="1" t="s">
        <v>126</v>
      </c>
      <c r="C128" s="3" t="s">
        <v>1</v>
      </c>
    </row>
    <row r="129" spans="2:3" x14ac:dyDescent="0.35">
      <c r="B129" s="1" t="s">
        <v>127</v>
      </c>
      <c r="C129" s="3" t="s">
        <v>1</v>
      </c>
    </row>
    <row r="130" spans="2:3" x14ac:dyDescent="0.35">
      <c r="B130" s="1" t="s">
        <v>128</v>
      </c>
      <c r="C130" s="3" t="s">
        <v>1</v>
      </c>
    </row>
    <row r="131" spans="2:3" x14ac:dyDescent="0.35">
      <c r="B131" s="1" t="s">
        <v>129</v>
      </c>
      <c r="C131" s="3" t="s">
        <v>1</v>
      </c>
    </row>
    <row r="132" spans="2:3" x14ac:dyDescent="0.35">
      <c r="B132" s="1" t="s">
        <v>130</v>
      </c>
      <c r="C132" s="3" t="s">
        <v>1</v>
      </c>
    </row>
    <row r="133" spans="2:3" x14ac:dyDescent="0.35">
      <c r="B133" s="1" t="s">
        <v>131</v>
      </c>
      <c r="C133" s="3" t="s">
        <v>1</v>
      </c>
    </row>
    <row r="134" spans="2:3" x14ac:dyDescent="0.35">
      <c r="B134" s="1" t="s">
        <v>132</v>
      </c>
      <c r="C134" s="3" t="s">
        <v>1</v>
      </c>
    </row>
    <row r="135" spans="2:3" x14ac:dyDescent="0.35">
      <c r="B135" s="1" t="s">
        <v>133</v>
      </c>
      <c r="C135" s="3" t="s">
        <v>1</v>
      </c>
    </row>
    <row r="136" spans="2:3" x14ac:dyDescent="0.35">
      <c r="B136" s="1" t="s">
        <v>134</v>
      </c>
      <c r="C136" s="3" t="s">
        <v>1</v>
      </c>
    </row>
    <row r="137" spans="2:3" x14ac:dyDescent="0.35">
      <c r="B137" s="1" t="s">
        <v>135</v>
      </c>
      <c r="C137" s="3" t="s">
        <v>1</v>
      </c>
    </row>
    <row r="138" spans="2:3" x14ac:dyDescent="0.35">
      <c r="B138" s="1" t="s">
        <v>136</v>
      </c>
      <c r="C138" s="3" t="s">
        <v>1</v>
      </c>
    </row>
    <row r="139" spans="2:3" x14ac:dyDescent="0.35">
      <c r="B139" s="1" t="s">
        <v>137</v>
      </c>
      <c r="C139" s="3" t="s">
        <v>1</v>
      </c>
    </row>
    <row r="140" spans="2:3" x14ac:dyDescent="0.35">
      <c r="B140" s="1" t="s">
        <v>138</v>
      </c>
      <c r="C140" s="3" t="s">
        <v>1</v>
      </c>
    </row>
    <row r="141" spans="2:3" x14ac:dyDescent="0.35">
      <c r="B141" s="1" t="s">
        <v>139</v>
      </c>
      <c r="C141" s="3" t="s">
        <v>1</v>
      </c>
    </row>
    <row r="142" spans="2:3" x14ac:dyDescent="0.35">
      <c r="B142" s="1" t="s">
        <v>140</v>
      </c>
      <c r="C142" s="3" t="s">
        <v>1</v>
      </c>
    </row>
    <row r="143" spans="2:3" x14ac:dyDescent="0.35">
      <c r="B143" s="1" t="s">
        <v>141</v>
      </c>
      <c r="C143" s="3" t="s">
        <v>1</v>
      </c>
    </row>
    <row r="144" spans="2:3" x14ac:dyDescent="0.35">
      <c r="B144" s="1" t="s">
        <v>142</v>
      </c>
      <c r="C144" s="3" t="s">
        <v>1</v>
      </c>
    </row>
    <row r="145" spans="2:3" x14ac:dyDescent="0.35">
      <c r="B145" s="1" t="s">
        <v>143</v>
      </c>
      <c r="C145" s="3" t="s">
        <v>1</v>
      </c>
    </row>
    <row r="146" spans="2:3" x14ac:dyDescent="0.35">
      <c r="B146" s="1" t="s">
        <v>144</v>
      </c>
      <c r="C146" s="3" t="s">
        <v>1</v>
      </c>
    </row>
    <row r="147" spans="2:3" x14ac:dyDescent="0.35">
      <c r="B147" s="1" t="s">
        <v>145</v>
      </c>
      <c r="C147" s="3" t="s">
        <v>1</v>
      </c>
    </row>
    <row r="148" spans="2:3" x14ac:dyDescent="0.35">
      <c r="B148" s="1" t="s">
        <v>146</v>
      </c>
      <c r="C148" s="3" t="s">
        <v>1</v>
      </c>
    </row>
    <row r="149" spans="2:3" x14ac:dyDescent="0.35">
      <c r="B149" s="1" t="s">
        <v>147</v>
      </c>
      <c r="C149" s="3" t="s">
        <v>1</v>
      </c>
    </row>
    <row r="150" spans="2:3" x14ac:dyDescent="0.35">
      <c r="B150" s="1" t="s">
        <v>148</v>
      </c>
      <c r="C150" s="3" t="s">
        <v>1</v>
      </c>
    </row>
    <row r="151" spans="2:3" x14ac:dyDescent="0.35">
      <c r="B151" s="1" t="s">
        <v>149</v>
      </c>
      <c r="C151" s="3" t="s">
        <v>1</v>
      </c>
    </row>
    <row r="152" spans="2:3" x14ac:dyDescent="0.35">
      <c r="B152" s="1" t="s">
        <v>150</v>
      </c>
      <c r="C152" s="3" t="s">
        <v>1</v>
      </c>
    </row>
    <row r="153" spans="2:3" x14ac:dyDescent="0.35">
      <c r="B153" s="1" t="s">
        <v>151</v>
      </c>
      <c r="C153" s="3" t="s">
        <v>1</v>
      </c>
    </row>
    <row r="154" spans="2:3" x14ac:dyDescent="0.35">
      <c r="B154" s="1" t="s">
        <v>152</v>
      </c>
      <c r="C154" s="3" t="s">
        <v>1</v>
      </c>
    </row>
    <row r="155" spans="2:3" x14ac:dyDescent="0.35">
      <c r="B155" s="1" t="s">
        <v>153</v>
      </c>
      <c r="C155" s="3" t="s">
        <v>1</v>
      </c>
    </row>
    <row r="156" spans="2:3" x14ac:dyDescent="0.35">
      <c r="B156" s="1" t="s">
        <v>154</v>
      </c>
      <c r="C156" s="3" t="s">
        <v>1</v>
      </c>
    </row>
    <row r="157" spans="2:3" x14ac:dyDescent="0.35">
      <c r="B157" s="1" t="s">
        <v>155</v>
      </c>
      <c r="C157" s="3" t="s">
        <v>1</v>
      </c>
    </row>
    <row r="158" spans="2:3" x14ac:dyDescent="0.35">
      <c r="B158" s="1" t="s">
        <v>156</v>
      </c>
      <c r="C158" s="3" t="s">
        <v>1</v>
      </c>
    </row>
    <row r="159" spans="2:3" x14ac:dyDescent="0.35">
      <c r="B159" s="1" t="s">
        <v>157</v>
      </c>
      <c r="C159" s="3" t="s">
        <v>1</v>
      </c>
    </row>
    <row r="160" spans="2:3" x14ac:dyDescent="0.35">
      <c r="B160" s="1" t="s">
        <v>158</v>
      </c>
      <c r="C160" s="3" t="s">
        <v>1</v>
      </c>
    </row>
    <row r="161" spans="2:3" x14ac:dyDescent="0.35">
      <c r="B161" s="1" t="s">
        <v>159</v>
      </c>
      <c r="C161" s="3" t="s">
        <v>1</v>
      </c>
    </row>
    <row r="162" spans="2:3" x14ac:dyDescent="0.35">
      <c r="B162" s="1" t="s">
        <v>160</v>
      </c>
      <c r="C162" s="3" t="s">
        <v>1</v>
      </c>
    </row>
    <row r="163" spans="2:3" x14ac:dyDescent="0.35">
      <c r="B163" s="1" t="s">
        <v>161</v>
      </c>
      <c r="C163" s="3" t="s">
        <v>1</v>
      </c>
    </row>
    <row r="164" spans="2:3" x14ac:dyDescent="0.35">
      <c r="B164" s="1" t="s">
        <v>162</v>
      </c>
      <c r="C164" s="3" t="s">
        <v>1</v>
      </c>
    </row>
    <row r="165" spans="2:3" x14ac:dyDescent="0.35">
      <c r="B165" s="1" t="s">
        <v>163</v>
      </c>
      <c r="C165" s="3" t="s">
        <v>1</v>
      </c>
    </row>
    <row r="166" spans="2:3" x14ac:dyDescent="0.35">
      <c r="B166" s="1" t="s">
        <v>164</v>
      </c>
      <c r="C166" s="3" t="s">
        <v>1</v>
      </c>
    </row>
    <row r="167" spans="2:3" x14ac:dyDescent="0.35">
      <c r="B167" s="1" t="s">
        <v>165</v>
      </c>
      <c r="C167" s="3" t="s">
        <v>1</v>
      </c>
    </row>
    <row r="168" spans="2:3" x14ac:dyDescent="0.35">
      <c r="B168" s="1" t="s">
        <v>166</v>
      </c>
      <c r="C168" s="3" t="s">
        <v>1</v>
      </c>
    </row>
    <row r="169" spans="2:3" x14ac:dyDescent="0.35">
      <c r="B169" s="1" t="s">
        <v>167</v>
      </c>
      <c r="C169" s="3" t="s">
        <v>1</v>
      </c>
    </row>
    <row r="170" spans="2:3" x14ac:dyDescent="0.35">
      <c r="B170" s="1" t="s">
        <v>168</v>
      </c>
      <c r="C170" s="3" t="s">
        <v>1</v>
      </c>
    </row>
    <row r="171" spans="2:3" x14ac:dyDescent="0.35">
      <c r="B171" s="1" t="s">
        <v>169</v>
      </c>
      <c r="C171" s="3" t="s">
        <v>1</v>
      </c>
    </row>
    <row r="172" spans="2:3" x14ac:dyDescent="0.35">
      <c r="B172" s="1" t="s">
        <v>170</v>
      </c>
      <c r="C172" s="3" t="s">
        <v>1</v>
      </c>
    </row>
    <row r="173" spans="2:3" x14ac:dyDescent="0.35">
      <c r="B173" s="1" t="s">
        <v>171</v>
      </c>
      <c r="C173" s="3" t="s">
        <v>1</v>
      </c>
    </row>
    <row r="174" spans="2:3" x14ac:dyDescent="0.35">
      <c r="B174" s="1" t="s">
        <v>172</v>
      </c>
      <c r="C174" s="3" t="s">
        <v>1</v>
      </c>
    </row>
    <row r="175" spans="2:3" x14ac:dyDescent="0.35">
      <c r="B175" s="1" t="s">
        <v>173</v>
      </c>
      <c r="C175" s="3" t="s">
        <v>1</v>
      </c>
    </row>
    <row r="176" spans="2:3" x14ac:dyDescent="0.35">
      <c r="B176" s="1" t="s">
        <v>174</v>
      </c>
      <c r="C176" s="3" t="s">
        <v>1</v>
      </c>
    </row>
    <row r="177" spans="2:3" x14ac:dyDescent="0.35">
      <c r="B177" s="1" t="s">
        <v>175</v>
      </c>
      <c r="C177" s="3" t="s">
        <v>1</v>
      </c>
    </row>
    <row r="178" spans="2:3" x14ac:dyDescent="0.35">
      <c r="B178" s="1" t="s">
        <v>176</v>
      </c>
      <c r="C178" s="3" t="s">
        <v>1</v>
      </c>
    </row>
    <row r="179" spans="2:3" x14ac:dyDescent="0.35">
      <c r="B179" s="1" t="s">
        <v>177</v>
      </c>
      <c r="C179" s="3" t="s">
        <v>1</v>
      </c>
    </row>
    <row r="180" spans="2:3" x14ac:dyDescent="0.35">
      <c r="B180" s="1" t="s">
        <v>178</v>
      </c>
      <c r="C180" s="3" t="s">
        <v>1</v>
      </c>
    </row>
    <row r="181" spans="2:3" x14ac:dyDescent="0.35">
      <c r="B181" s="1" t="s">
        <v>179</v>
      </c>
      <c r="C181" s="3" t="s">
        <v>1</v>
      </c>
    </row>
    <row r="182" spans="2:3" x14ac:dyDescent="0.35">
      <c r="B182" s="1" t="s">
        <v>180</v>
      </c>
      <c r="C182" s="3" t="s">
        <v>1</v>
      </c>
    </row>
    <row r="183" spans="2:3" x14ac:dyDescent="0.35">
      <c r="B183" s="1" t="s">
        <v>181</v>
      </c>
      <c r="C183" s="3" t="s">
        <v>1</v>
      </c>
    </row>
    <row r="184" spans="2:3" x14ac:dyDescent="0.35">
      <c r="B184" s="1" t="s">
        <v>182</v>
      </c>
      <c r="C184" s="3" t="s">
        <v>1</v>
      </c>
    </row>
    <row r="185" spans="2:3" x14ac:dyDescent="0.35">
      <c r="B185" s="1" t="s">
        <v>183</v>
      </c>
      <c r="C185" s="3" t="s">
        <v>1</v>
      </c>
    </row>
    <row r="186" spans="2:3" x14ac:dyDescent="0.35">
      <c r="B186" s="1" t="s">
        <v>184</v>
      </c>
      <c r="C186" s="3" t="s">
        <v>1</v>
      </c>
    </row>
    <row r="187" spans="2:3" x14ac:dyDescent="0.35">
      <c r="B187" s="1" t="s">
        <v>185</v>
      </c>
      <c r="C187" s="3" t="s">
        <v>1</v>
      </c>
    </row>
    <row r="188" spans="2:3" x14ac:dyDescent="0.35">
      <c r="B188" s="1" t="s">
        <v>186</v>
      </c>
      <c r="C188" s="3" t="s">
        <v>1</v>
      </c>
    </row>
    <row r="189" spans="2:3" x14ac:dyDescent="0.35">
      <c r="B189" s="1" t="s">
        <v>187</v>
      </c>
      <c r="C189" s="3" t="s">
        <v>1</v>
      </c>
    </row>
    <row r="190" spans="2:3" x14ac:dyDescent="0.35">
      <c r="B190" s="1" t="s">
        <v>188</v>
      </c>
      <c r="C190" s="3" t="s">
        <v>1</v>
      </c>
    </row>
    <row r="191" spans="2:3" x14ac:dyDescent="0.35">
      <c r="B191" s="1" t="s">
        <v>189</v>
      </c>
      <c r="C191" s="3" t="s">
        <v>1</v>
      </c>
    </row>
    <row r="192" spans="2:3" x14ac:dyDescent="0.35">
      <c r="B192" s="1" t="s">
        <v>190</v>
      </c>
      <c r="C192" s="3" t="s">
        <v>1</v>
      </c>
    </row>
    <row r="193" spans="2:3" x14ac:dyDescent="0.35">
      <c r="B193" s="1" t="s">
        <v>191</v>
      </c>
      <c r="C193" s="3" t="s">
        <v>1</v>
      </c>
    </row>
    <row r="194" spans="2:3" x14ac:dyDescent="0.35">
      <c r="B194" s="1" t="s">
        <v>192</v>
      </c>
      <c r="C194" s="3" t="s">
        <v>1</v>
      </c>
    </row>
    <row r="195" spans="2:3" x14ac:dyDescent="0.35">
      <c r="B195" s="1" t="s">
        <v>193</v>
      </c>
      <c r="C195" s="3" t="s">
        <v>1</v>
      </c>
    </row>
    <row r="196" spans="2:3" x14ac:dyDescent="0.35">
      <c r="B196" s="1" t="s">
        <v>194</v>
      </c>
      <c r="C196" s="3" t="s">
        <v>1</v>
      </c>
    </row>
    <row r="197" spans="2:3" x14ac:dyDescent="0.35">
      <c r="B197" s="1" t="s">
        <v>195</v>
      </c>
      <c r="C197" s="3" t="s">
        <v>1</v>
      </c>
    </row>
    <row r="198" spans="2:3" x14ac:dyDescent="0.35">
      <c r="B198" s="1" t="s">
        <v>196</v>
      </c>
      <c r="C198" s="3" t="s">
        <v>1</v>
      </c>
    </row>
    <row r="199" spans="2:3" x14ac:dyDescent="0.35">
      <c r="B199" s="1" t="s">
        <v>197</v>
      </c>
      <c r="C199" s="3" t="s">
        <v>1</v>
      </c>
    </row>
    <row r="200" spans="2:3" x14ac:dyDescent="0.35">
      <c r="B200" s="1" t="s">
        <v>198</v>
      </c>
      <c r="C200" s="3" t="s">
        <v>1</v>
      </c>
    </row>
    <row r="201" spans="2:3" x14ac:dyDescent="0.35">
      <c r="B201" s="1" t="s">
        <v>199</v>
      </c>
      <c r="C201" s="3" t="s">
        <v>1</v>
      </c>
    </row>
    <row r="202" spans="2:3" x14ac:dyDescent="0.35">
      <c r="B202" s="1" t="s">
        <v>200</v>
      </c>
      <c r="C202" s="3" t="s">
        <v>1</v>
      </c>
    </row>
    <row r="203" spans="2:3" x14ac:dyDescent="0.35">
      <c r="B203" s="1" t="s">
        <v>201</v>
      </c>
      <c r="C203" s="3" t="s">
        <v>1</v>
      </c>
    </row>
    <row r="204" spans="2:3" x14ac:dyDescent="0.35">
      <c r="B204" s="1" t="s">
        <v>202</v>
      </c>
      <c r="C204" s="3" t="s">
        <v>1</v>
      </c>
    </row>
    <row r="205" spans="2:3" x14ac:dyDescent="0.35">
      <c r="B205" s="1" t="s">
        <v>203</v>
      </c>
      <c r="C205" s="3" t="s">
        <v>1</v>
      </c>
    </row>
    <row r="206" spans="2:3" x14ac:dyDescent="0.35">
      <c r="B206" s="1" t="s">
        <v>204</v>
      </c>
      <c r="C206" s="3" t="s">
        <v>1</v>
      </c>
    </row>
    <row r="207" spans="2:3" x14ac:dyDescent="0.35">
      <c r="B207" s="1" t="s">
        <v>205</v>
      </c>
      <c r="C207" s="3" t="s">
        <v>1</v>
      </c>
    </row>
    <row r="208" spans="2:3" x14ac:dyDescent="0.35">
      <c r="B208" s="1" t="s">
        <v>206</v>
      </c>
      <c r="C208" s="3" t="s">
        <v>1</v>
      </c>
    </row>
    <row r="209" spans="2:3" x14ac:dyDescent="0.35">
      <c r="B209" s="1" t="s">
        <v>207</v>
      </c>
      <c r="C209" s="3" t="s">
        <v>1</v>
      </c>
    </row>
    <row r="210" spans="2:3" x14ac:dyDescent="0.35">
      <c r="B210" s="1" t="s">
        <v>208</v>
      </c>
      <c r="C210" s="3" t="s">
        <v>1</v>
      </c>
    </row>
    <row r="211" spans="2:3" x14ac:dyDescent="0.35">
      <c r="B211" s="1" t="s">
        <v>209</v>
      </c>
      <c r="C211" s="3" t="s">
        <v>1</v>
      </c>
    </row>
    <row r="212" spans="2:3" x14ac:dyDescent="0.35">
      <c r="B212" s="1" t="s">
        <v>210</v>
      </c>
      <c r="C212" s="3" t="s">
        <v>1</v>
      </c>
    </row>
    <row r="213" spans="2:3" x14ac:dyDescent="0.35">
      <c r="B213" s="1" t="s">
        <v>211</v>
      </c>
      <c r="C213" s="3" t="s">
        <v>1</v>
      </c>
    </row>
    <row r="214" spans="2:3" x14ac:dyDescent="0.35">
      <c r="B214" s="1" t="s">
        <v>212</v>
      </c>
      <c r="C214" s="3" t="s">
        <v>1</v>
      </c>
    </row>
    <row r="215" spans="2:3" x14ac:dyDescent="0.35">
      <c r="B215" s="1" t="s">
        <v>213</v>
      </c>
      <c r="C215" s="3" t="s">
        <v>1</v>
      </c>
    </row>
    <row r="216" spans="2:3" x14ac:dyDescent="0.35">
      <c r="B216" s="1" t="s">
        <v>214</v>
      </c>
      <c r="C216" s="3" t="s">
        <v>1</v>
      </c>
    </row>
    <row r="217" spans="2:3" x14ac:dyDescent="0.35">
      <c r="B217" s="1" t="s">
        <v>215</v>
      </c>
      <c r="C217" s="3" t="s">
        <v>1</v>
      </c>
    </row>
    <row r="218" spans="2:3" x14ac:dyDescent="0.35">
      <c r="B218" s="1" t="s">
        <v>216</v>
      </c>
      <c r="C218" s="3" t="s">
        <v>1</v>
      </c>
    </row>
    <row r="219" spans="2:3" x14ac:dyDescent="0.35">
      <c r="B219" s="1" t="s">
        <v>217</v>
      </c>
      <c r="C219" s="3" t="s">
        <v>1</v>
      </c>
    </row>
    <row r="220" spans="2:3" x14ac:dyDescent="0.35">
      <c r="B220" s="1" t="s">
        <v>218</v>
      </c>
      <c r="C220" s="3" t="s">
        <v>1</v>
      </c>
    </row>
    <row r="221" spans="2:3" x14ac:dyDescent="0.35">
      <c r="B221" s="1" t="s">
        <v>219</v>
      </c>
      <c r="C221" s="3" t="s">
        <v>1</v>
      </c>
    </row>
    <row r="222" spans="2:3" x14ac:dyDescent="0.35">
      <c r="B222" s="1" t="s">
        <v>220</v>
      </c>
      <c r="C222" s="3" t="s">
        <v>1</v>
      </c>
    </row>
    <row r="223" spans="2:3" x14ac:dyDescent="0.35">
      <c r="B223" s="1" t="s">
        <v>221</v>
      </c>
      <c r="C223" s="3" t="s">
        <v>1</v>
      </c>
    </row>
    <row r="224" spans="2:3" x14ac:dyDescent="0.35">
      <c r="B224" s="1" t="s">
        <v>222</v>
      </c>
      <c r="C224" s="3" t="s">
        <v>1</v>
      </c>
    </row>
    <row r="225" spans="2:3" x14ac:dyDescent="0.35">
      <c r="B225" s="1" t="s">
        <v>223</v>
      </c>
      <c r="C225" s="3" t="s">
        <v>1</v>
      </c>
    </row>
    <row r="226" spans="2:3" x14ac:dyDescent="0.35">
      <c r="B226" s="1" t="s">
        <v>224</v>
      </c>
      <c r="C226" s="3" t="s">
        <v>1</v>
      </c>
    </row>
    <row r="227" spans="2:3" x14ac:dyDescent="0.35">
      <c r="B227" s="1" t="s">
        <v>225</v>
      </c>
      <c r="C227" s="3" t="s">
        <v>1</v>
      </c>
    </row>
    <row r="228" spans="2:3" x14ac:dyDescent="0.35">
      <c r="B228" s="1" t="s">
        <v>226</v>
      </c>
      <c r="C228" s="3" t="s">
        <v>1</v>
      </c>
    </row>
    <row r="229" spans="2:3" x14ac:dyDescent="0.35">
      <c r="B229" s="1" t="s">
        <v>227</v>
      </c>
      <c r="C229" s="3" t="s">
        <v>1</v>
      </c>
    </row>
    <row r="230" spans="2:3" x14ac:dyDescent="0.35">
      <c r="B230" s="1" t="s">
        <v>228</v>
      </c>
      <c r="C230" s="3" t="s">
        <v>1</v>
      </c>
    </row>
    <row r="231" spans="2:3" x14ac:dyDescent="0.35">
      <c r="B231" s="1" t="s">
        <v>229</v>
      </c>
      <c r="C231" s="3" t="s">
        <v>1</v>
      </c>
    </row>
    <row r="232" spans="2:3" x14ac:dyDescent="0.35">
      <c r="B232" s="1" t="s">
        <v>230</v>
      </c>
      <c r="C232" s="3" t="s">
        <v>1</v>
      </c>
    </row>
    <row r="233" spans="2:3" x14ac:dyDescent="0.35">
      <c r="B233" s="1" t="s">
        <v>231</v>
      </c>
      <c r="C233" s="3" t="s">
        <v>1</v>
      </c>
    </row>
    <row r="234" spans="2:3" x14ac:dyDescent="0.35">
      <c r="B234" s="1" t="s">
        <v>232</v>
      </c>
      <c r="C234" s="3" t="s">
        <v>1</v>
      </c>
    </row>
    <row r="235" spans="2:3" x14ac:dyDescent="0.35">
      <c r="B235" s="1" t="s">
        <v>233</v>
      </c>
      <c r="C235" s="3" t="s">
        <v>1</v>
      </c>
    </row>
    <row r="236" spans="2:3" x14ac:dyDescent="0.35">
      <c r="B236" s="1" t="s">
        <v>234</v>
      </c>
      <c r="C236" s="3" t="s">
        <v>1</v>
      </c>
    </row>
    <row r="237" spans="2:3" x14ac:dyDescent="0.35">
      <c r="B237" s="1" t="s">
        <v>235</v>
      </c>
      <c r="C237" s="3" t="s">
        <v>1</v>
      </c>
    </row>
    <row r="238" spans="2:3" x14ac:dyDescent="0.35">
      <c r="B238" s="1" t="s">
        <v>236</v>
      </c>
      <c r="C238" s="3" t="s">
        <v>1</v>
      </c>
    </row>
    <row r="239" spans="2:3" x14ac:dyDescent="0.35">
      <c r="B239" s="1" t="s">
        <v>237</v>
      </c>
      <c r="C239" s="3" t="s">
        <v>1</v>
      </c>
    </row>
    <row r="240" spans="2:3" x14ac:dyDescent="0.35">
      <c r="B240" s="1" t="s">
        <v>238</v>
      </c>
      <c r="C240" s="3" t="s">
        <v>1</v>
      </c>
    </row>
    <row r="241" spans="2:3" x14ac:dyDescent="0.35">
      <c r="B241" s="1" t="s">
        <v>239</v>
      </c>
      <c r="C241" s="3" t="s">
        <v>1</v>
      </c>
    </row>
    <row r="242" spans="2:3" x14ac:dyDescent="0.35">
      <c r="B242" s="1" t="s">
        <v>240</v>
      </c>
      <c r="C242" s="3" t="s">
        <v>1</v>
      </c>
    </row>
    <row r="243" spans="2:3" x14ac:dyDescent="0.35">
      <c r="B243" s="1" t="s">
        <v>241</v>
      </c>
      <c r="C243" s="3" t="s">
        <v>1</v>
      </c>
    </row>
    <row r="244" spans="2:3" x14ac:dyDescent="0.35">
      <c r="B244" s="1" t="s">
        <v>242</v>
      </c>
      <c r="C244" s="3" t="s">
        <v>1</v>
      </c>
    </row>
    <row r="245" spans="2:3" x14ac:dyDescent="0.35">
      <c r="B245" s="1" t="s">
        <v>243</v>
      </c>
      <c r="C245" s="3" t="s">
        <v>1</v>
      </c>
    </row>
    <row r="246" spans="2:3" x14ac:dyDescent="0.35">
      <c r="B246" s="1" t="s">
        <v>244</v>
      </c>
      <c r="C246" s="3" t="s">
        <v>1</v>
      </c>
    </row>
    <row r="247" spans="2:3" x14ac:dyDescent="0.35">
      <c r="B247" s="1" t="s">
        <v>245</v>
      </c>
      <c r="C247" s="3" t="s">
        <v>1</v>
      </c>
    </row>
    <row r="248" spans="2:3" x14ac:dyDescent="0.35">
      <c r="B248" s="1" t="s">
        <v>246</v>
      </c>
      <c r="C248" s="3" t="s">
        <v>1</v>
      </c>
    </row>
    <row r="249" spans="2:3" x14ac:dyDescent="0.35">
      <c r="B249" s="1" t="s">
        <v>247</v>
      </c>
      <c r="C249" s="3" t="s">
        <v>1</v>
      </c>
    </row>
    <row r="250" spans="2:3" x14ac:dyDescent="0.35">
      <c r="B250" s="1" t="s">
        <v>248</v>
      </c>
      <c r="C250" s="3" t="s">
        <v>1</v>
      </c>
    </row>
    <row r="251" spans="2:3" x14ac:dyDescent="0.35">
      <c r="B251" s="1" t="s">
        <v>249</v>
      </c>
      <c r="C251" s="3" t="s">
        <v>1</v>
      </c>
    </row>
    <row r="252" spans="2:3" x14ac:dyDescent="0.35">
      <c r="B252" s="1" t="s">
        <v>250</v>
      </c>
      <c r="C252" s="3" t="s">
        <v>1</v>
      </c>
    </row>
    <row r="253" spans="2:3" x14ac:dyDescent="0.35">
      <c r="B253" s="1" t="s">
        <v>251</v>
      </c>
      <c r="C253" s="3" t="s">
        <v>1</v>
      </c>
    </row>
    <row r="254" spans="2:3" x14ac:dyDescent="0.35">
      <c r="B254" s="1" t="s">
        <v>252</v>
      </c>
      <c r="C254" s="3" t="s">
        <v>1</v>
      </c>
    </row>
    <row r="255" spans="2:3" x14ac:dyDescent="0.35">
      <c r="B255" s="1" t="s">
        <v>253</v>
      </c>
      <c r="C255" s="3" t="s">
        <v>1</v>
      </c>
    </row>
    <row r="256" spans="2:3" x14ac:dyDescent="0.35">
      <c r="B256" s="1" t="s">
        <v>254</v>
      </c>
      <c r="C256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defaultRowHeight="14.5" x14ac:dyDescent="0.35"/>
  <sheetData>
    <row r="1" spans="1:9" x14ac:dyDescent="0.35">
      <c r="A1">
        <v>3</v>
      </c>
      <c r="B1" t="s">
        <v>255</v>
      </c>
      <c r="C1">
        <v>10</v>
      </c>
      <c r="D1">
        <v>2</v>
      </c>
      <c r="E1">
        <v>1</v>
      </c>
      <c r="F1">
        <v>2</v>
      </c>
      <c r="G1">
        <v>7</v>
      </c>
      <c r="H1" t="e">
        <f>1/0</f>
        <v>#DIV/0!</v>
      </c>
      <c r="I1">
        <v>0.3</v>
      </c>
    </row>
    <row r="2" spans="1:9" x14ac:dyDescent="0.35">
      <c r="A2">
        <v>1</v>
      </c>
      <c r="B2" t="s">
        <v>256</v>
      </c>
      <c r="C2">
        <v>20</v>
      </c>
      <c r="D2" t="s">
        <v>257</v>
      </c>
      <c r="E2">
        <v>3</v>
      </c>
      <c r="F2">
        <v>4</v>
      </c>
      <c r="G2">
        <v>8</v>
      </c>
      <c r="H2">
        <v>7</v>
      </c>
      <c r="I2">
        <f>0.1+0.2</f>
        <v>0.30000000000000004</v>
      </c>
    </row>
    <row r="3" spans="1:9" x14ac:dyDescent="0.35">
      <c r="A3">
        <v>4</v>
      </c>
      <c r="B3" t="s">
        <v>258</v>
      </c>
      <c r="C3">
        <v>30</v>
      </c>
      <c r="D3" t="b">
        <f>TRUE</f>
        <v>1</v>
      </c>
      <c r="E3">
        <v>5</v>
      </c>
      <c r="F3">
        <v>6</v>
      </c>
    </row>
    <row r="4" spans="1:9" x14ac:dyDescent="0.35">
      <c r="A4">
        <v>1</v>
      </c>
      <c r="B4" t="s">
        <v>259</v>
      </c>
      <c r="C4">
        <v>40</v>
      </c>
    </row>
    <row r="5" spans="1:9" x14ac:dyDescent="0.35">
      <c r="A5">
        <v>5</v>
      </c>
      <c r="B5" t="s">
        <v>260</v>
      </c>
      <c r="C5">
        <v>50</v>
      </c>
      <c r="D5">
        <v>0</v>
      </c>
    </row>
    <row r="6" spans="1:9" x14ac:dyDescent="0.35">
      <c r="A6">
        <v>9</v>
      </c>
      <c r="C6">
        <v>60</v>
      </c>
      <c r="D6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4"/>
  <sheetViews>
    <sheetView tabSelected="1" workbookViewId="0">
      <selection activeCell="K3" sqref="K3"/>
    </sheetView>
  </sheetViews>
  <sheetFormatPr defaultRowHeight="14.5" x14ac:dyDescent="0.35"/>
  <sheetData>
    <row r="1" spans="1:11" x14ac:dyDescent="0.35">
      <c r="D1" cm="1">
        <f t="array" ref="D1:E2">_xlfn.SEQUENCE(2,2)</f>
        <v>1</v>
      </c>
      <c r="E1">
        <v>2</v>
      </c>
      <c r="G1" cm="1">
        <f t="array" ref="G1:G2">_xlfn._xlws.FILTER(data!A1:A6,data!A1:A6&gt;4)</f>
        <v>5</v>
      </c>
      <c r="K1">
        <f t="array" ref="K1">SUM(LEN(data!B1:B6))</f>
        <v>21</v>
      </c>
    </row>
    <row r="2" spans="1:11" x14ac:dyDescent="0.35">
      <c r="D2">
        <v>3</v>
      </c>
      <c r="E2">
        <v>4</v>
      </c>
      <c r="G2">
        <v>9</v>
      </c>
      <c r="K2">
        <f t="array" ref="K2">data!A1:A1*2</f>
        <v>6</v>
      </c>
    </row>
    <row r="3" spans="1:11" x14ac:dyDescent="0.35">
      <c r="K3">
        <f t="array" ref="K3">MAX(data!A1:A6*data!C1:C6)</f>
        <v>540</v>
      </c>
    </row>
    <row r="10" spans="1:11" x14ac:dyDescent="0.35">
      <c r="A10">
        <f>SUM({1,2;3,4})</f>
        <v>10</v>
      </c>
    </row>
    <row r="11" spans="1:11" x14ac:dyDescent="0.35">
      <c r="A11">
        <f>SUM({1,"2",TRUE})</f>
        <v>1</v>
      </c>
    </row>
    <row r="12" spans="1:11" x14ac:dyDescent="0.35">
      <c r="A12">
        <f>COUNTA({1,"a",TRUE,#N/A})</f>
        <v>4</v>
      </c>
    </row>
    <row r="13" spans="1:11" x14ac:dyDescent="0.35">
      <c r="A13">
        <f>COUNT({1,"2",TRUE})</f>
        <v>1</v>
      </c>
    </row>
    <row r="14" spans="1:11" x14ac:dyDescent="0.35">
      <c r="A14">
        <f>AVERAGE({1,2,3,4})</f>
        <v>2.5</v>
      </c>
    </row>
    <row r="15" spans="1:11" x14ac:dyDescent="0.35">
      <c r="A15">
        <f>MAX({-1,-5;3,0})</f>
        <v>3</v>
      </c>
    </row>
    <row r="16" spans="1:11" x14ac:dyDescent="0.35">
      <c r="A16" t="b">
        <f>AND({TRUE,1})</f>
        <v>1</v>
      </c>
    </row>
    <row r="17" spans="1:1" x14ac:dyDescent="0.35">
      <c r="A17" t="b">
        <f>OR({FALSE,0})</f>
        <v>0</v>
      </c>
    </row>
    <row r="18" spans="1:1" x14ac:dyDescent="0.35">
      <c r="A18">
        <f>{1,2,3}</f>
        <v>1</v>
      </c>
    </row>
    <row r="19" spans="1:1" x14ac:dyDescent="0.35">
      <c r="A19">
        <f>{-1,2}*2</f>
        <v>-2</v>
      </c>
    </row>
    <row r="20" spans="1:1" x14ac:dyDescent="0.35">
      <c r="A20">
        <f>SUM({1,2,3}*{4,5,6})</f>
        <v>32</v>
      </c>
    </row>
    <row r="21" spans="1:1" x14ac:dyDescent="0.35">
      <c r="A21">
        <f>SUM({1,2,3}+{10;20})</f>
        <v>102</v>
      </c>
    </row>
    <row r="22" spans="1:1" x14ac:dyDescent="0.35">
      <c r="A22" t="e">
        <f>SUM({1,2,3}+{10,20})</f>
        <v>#N/A</v>
      </c>
    </row>
    <row r="23" spans="1:1" x14ac:dyDescent="0.35">
      <c r="A23">
        <f>SUM(LEN({"a","bc","def"}))</f>
        <v>6</v>
      </c>
    </row>
    <row r="24" spans="1:1" x14ac:dyDescent="0.35">
      <c r="A24">
        <f>SUM(IF({TRUE,FALSE,TRUE},{1,2,3},{10,20,30}))</f>
        <v>24</v>
      </c>
    </row>
    <row r="25" spans="1:1" x14ac:dyDescent="0.35">
      <c r="A25" t="e">
        <f>SUM(IF({TRUE,FALSE,TRUE},{1,2},0))</f>
        <v>#N/A</v>
      </c>
    </row>
    <row r="26" spans="1:1" x14ac:dyDescent="0.35">
      <c r="A26">
        <f>SUM(IF({FALSE,FALSE,FALSE},{1,2},5))</f>
        <v>15</v>
      </c>
    </row>
    <row r="27" spans="1:1" x14ac:dyDescent="0.35">
      <c r="A27" cm="1">
        <f t="array" ref="A27">SUM(CHOOSE({1,2},10,20))</f>
        <v>30</v>
      </c>
    </row>
    <row r="28" spans="1:1" x14ac:dyDescent="0.35">
      <c r="A28">
        <f>SUM(IFERROR({1,#N/A,3},0))</f>
        <v>1</v>
      </c>
    </row>
    <row r="29" spans="1:1" x14ac:dyDescent="0.35">
      <c r="A29">
        <f>SUM(IFERROR({1,2,3},{10,20}))</f>
        <v>1</v>
      </c>
    </row>
    <row r="30" spans="1:1" x14ac:dyDescent="0.35">
      <c r="A30">
        <f>SUM(ISNUMBER({1,"a",TRUE})*1)</f>
        <v>1</v>
      </c>
    </row>
    <row r="31" spans="1:1" x14ac:dyDescent="0.35">
      <c r="A31">
        <f>SUM(COUNTIF(data!A1:A6,{1,3}))</f>
        <v>3</v>
      </c>
    </row>
    <row r="32" spans="1:1" x14ac:dyDescent="0.35">
      <c r="A32">
        <f>SUM(SUMIF(data!A1:A6,{1,5},data!C1:C6))</f>
        <v>110</v>
      </c>
    </row>
    <row r="33" spans="1:1" x14ac:dyDescent="0.35">
      <c r="A33">
        <f>SUM(VLOOKUP(3,data!A1:C6,{1,3},FALSE))</f>
        <v>3</v>
      </c>
    </row>
    <row r="34" spans="1:1" x14ac:dyDescent="0.35">
      <c r="A34">
        <f>MATCH(4,{3,1,4},0)</f>
        <v>3</v>
      </c>
    </row>
    <row r="35" spans="1:1" x14ac:dyDescent="0.35">
      <c r="A35">
        <f>SUM(-{1,2})</f>
        <v>-3</v>
      </c>
    </row>
    <row r="36" spans="1:1" x14ac:dyDescent="0.35">
      <c r="A36">
        <f>SUM({50,150}%)</f>
        <v>2</v>
      </c>
    </row>
    <row r="37" spans="1:1" x14ac:dyDescent="0.35">
      <c r="A37">
        <f>SUM(({1,2,3}&gt;1)*1)</f>
        <v>2</v>
      </c>
    </row>
    <row r="38" spans="1:1" x14ac:dyDescent="0.35">
      <c r="A38">
        <f>SUMPRODUCT({1,2},{3,4})</f>
        <v>11</v>
      </c>
    </row>
    <row r="39" spans="1:1" x14ac:dyDescent="0.35">
      <c r="A39">
        <f>SUMPRODUCT(data!A1:A6,data!C1:C6)</f>
        <v>1000</v>
      </c>
    </row>
    <row r="40" spans="1:1" x14ac:dyDescent="0.35">
      <c r="A40">
        <f>SUMPRODUCT(data!A1:A6*data!C1:C6)</f>
        <v>1000</v>
      </c>
    </row>
    <row r="41" spans="1:1" x14ac:dyDescent="0.35">
      <c r="A41">
        <f>SUMPRODUCT((data!A1:A6&gt;2)*data!C1:C6)</f>
        <v>150</v>
      </c>
    </row>
    <row r="42" spans="1:1" x14ac:dyDescent="0.35">
      <c r="A42">
        <f>SUMPRODUCT(--(data!A1:A6&gt;2))</f>
        <v>4</v>
      </c>
    </row>
    <row r="43" spans="1:1" x14ac:dyDescent="0.35">
      <c r="A43">
        <f>SUMPRODUCT((data!A1:A6&gt;2)*1,data!C1:C6)</f>
        <v>150</v>
      </c>
    </row>
    <row r="44" spans="1:1" x14ac:dyDescent="0.35">
      <c r="A44" t="e">
        <f>SUMPRODUCT(data!A1:A6,data!C1:C5)</f>
        <v>#VALUE!</v>
      </c>
    </row>
    <row r="45" spans="1:1" x14ac:dyDescent="0.35">
      <c r="A45">
        <f>SUMPRODUCT({1,"a",TRUE},{1,1,1})</f>
        <v>1</v>
      </c>
    </row>
    <row r="46" spans="1:1" x14ac:dyDescent="0.35">
      <c r="A46">
        <f>SUMPRODUCT(data!D1:D6)</f>
        <v>1</v>
      </c>
    </row>
    <row r="47" spans="1:1" x14ac:dyDescent="0.35">
      <c r="A47" t="e">
        <f>SUMPRODUCT({1,2},{3,#N/A})</f>
        <v>#N/A</v>
      </c>
    </row>
    <row r="48" spans="1:1" x14ac:dyDescent="0.35">
      <c r="A48">
        <f>SUMPRODUCT(ROW(data!A1:A6)*data!A1:A6)</f>
        <v>100</v>
      </c>
    </row>
    <row r="49" spans="1:1" x14ac:dyDescent="0.35">
      <c r="A49">
        <f>SUMPRODUCT(LEN(data!B1:B6))</f>
        <v>21</v>
      </c>
    </row>
    <row r="50" spans="1:1" x14ac:dyDescent="0.35">
      <c r="A50">
        <f>SUMPRODUCT(5)</f>
        <v>5</v>
      </c>
    </row>
    <row r="51" spans="1:1" x14ac:dyDescent="0.35">
      <c r="A51">
        <f>SUMPRODUCT("5")</f>
        <v>0</v>
      </c>
    </row>
    <row r="52" spans="1:1" x14ac:dyDescent="0.35">
      <c r="A52">
        <f>ROWS({1,2;3,4;5,6})</f>
        <v>3</v>
      </c>
    </row>
    <row r="53" spans="1:1" x14ac:dyDescent="0.35">
      <c r="A53">
        <f>COLUMNS({1,2;3,4;5,6})</f>
        <v>2</v>
      </c>
    </row>
    <row r="54" spans="1:1" x14ac:dyDescent="0.35">
      <c r="A54">
        <f>ROWS(data!A1:C6)</f>
        <v>6</v>
      </c>
    </row>
    <row r="55" spans="1:1" x14ac:dyDescent="0.35">
      <c r="A55">
        <f>COLUMNS(data!A1:C6)</f>
        <v>3</v>
      </c>
    </row>
    <row r="56" spans="1:1" x14ac:dyDescent="0.35">
      <c r="A56">
        <f>ROWS(5)</f>
        <v>1</v>
      </c>
    </row>
    <row r="57" spans="1:1" x14ac:dyDescent="0.35">
      <c r="A57">
        <f>ROWS(data!A1:A6*1)</f>
        <v>6</v>
      </c>
    </row>
    <row r="58" spans="1:1" x14ac:dyDescent="0.35">
      <c r="A58" t="e">
        <f>SUM(data!A1:A6*data!C1:C6)</f>
        <v>#VALUE!</v>
      </c>
    </row>
    <row r="59" spans="1:1" x14ac:dyDescent="0.35">
      <c r="A59">
        <f>SUM(ROW(data!A1:A6))</f>
        <v>1</v>
      </c>
    </row>
    <row r="60" spans="1:1" x14ac:dyDescent="0.35">
      <c r="A60" cm="1">
        <f t="array" ref="A60">SUM(_xlfn.SEQUENCE(4))</f>
        <v>10</v>
      </c>
    </row>
    <row r="61" spans="1:1" x14ac:dyDescent="0.35">
      <c r="A61" cm="1">
        <f t="array" ref="A61">SUM(_xlfn.SEQUENCE(2,3))</f>
        <v>21</v>
      </c>
    </row>
    <row r="62" spans="1:1" x14ac:dyDescent="0.35">
      <c r="A62" cm="1">
        <f t="array" ref="A62">SUM(_xlfn.SEQUENCE(3,1,10,5))</f>
        <v>45</v>
      </c>
    </row>
    <row r="63" spans="1:1" x14ac:dyDescent="0.35">
      <c r="A63" cm="1">
        <f t="array" ref="A63">SUM(_xlfn.SEQUENCE(5,1,0,0.1))</f>
        <v>1</v>
      </c>
    </row>
    <row r="64" spans="1:1" x14ac:dyDescent="0.35">
      <c r="A64" t="e" cm="1" vm="1">
        <f t="array" ref="A64">_xlfn.SEQUENCE(0)</f>
        <v>#VALUE!</v>
      </c>
    </row>
    <row r="65" spans="1:1" x14ac:dyDescent="0.35">
      <c r="A65" t="e" cm="1">
        <f t="array" ref="A65">_xlfn.SEQUENCE(-1)</f>
        <v>#VALUE!</v>
      </c>
    </row>
    <row r="66" spans="1:1" x14ac:dyDescent="0.35">
      <c r="A66" cm="1">
        <f t="array" ref="A66">SUM(_xlfn.SEQUENCE(2.9))</f>
        <v>3</v>
      </c>
    </row>
    <row r="67" spans="1:1" x14ac:dyDescent="0.35">
      <c r="A67" t="e" cm="1" vm="1">
        <f t="array" ref="A67">_xlfn.SEQUENCE(1,0)</f>
        <v>#VALUE!</v>
      </c>
    </row>
    <row r="68" spans="1:1" x14ac:dyDescent="0.35">
      <c r="A68" cm="1">
        <f t="array" ref="A68">SUM(_xlfn.SEQUENCE(,3))</f>
        <v>6</v>
      </c>
    </row>
    <row r="69" spans="1:1" x14ac:dyDescent="0.35">
      <c r="A69" cm="1">
        <f t="array" ref="A69">INDEX(_xlfn.SEQUENCE(3,3),2,3)</f>
        <v>6</v>
      </c>
    </row>
    <row r="70" spans="1:1" x14ac:dyDescent="0.35">
      <c r="A70" cm="1">
        <f t="array" ref="A70">INDEX(_xlfn.SEQUENCE(2,2)*10,2,2)</f>
        <v>40</v>
      </c>
    </row>
    <row r="71" spans="1:1" x14ac:dyDescent="0.35">
      <c r="A71" cm="1">
        <f t="array" ref="A71">SUM(_xlfn.SEQUENCE(3)*{1;2;3})</f>
        <v>14</v>
      </c>
    </row>
    <row r="72" spans="1:1" x14ac:dyDescent="0.35">
      <c r="A72" cm="1">
        <f t="array" ref="A72">SUM(_xlfn._xlws.FILTER(data!C1:C6,data!A1:A6&gt;2))</f>
        <v>150</v>
      </c>
    </row>
    <row r="73" spans="1:1" x14ac:dyDescent="0.35">
      <c r="A73" cm="1">
        <f t="array" ref="A73">ROWS(_xlfn._xlws.FILTER(data!A1:A6,data!A1:A6=1))</f>
        <v>2</v>
      </c>
    </row>
    <row r="74" spans="1:1" x14ac:dyDescent="0.35">
      <c r="A74" t="e" cm="1" vm="1">
        <f t="array" ref="A74">_xlfn._xlws.FILTER(data!A1:A6,data!A1:A6&gt;100)</f>
        <v>#VALUE!</v>
      </c>
    </row>
    <row r="75" spans="1:1" x14ac:dyDescent="0.35">
      <c r="A75" t="str" cm="1">
        <f t="array" ref="A75">_xlfn._xlws.FILTER(data!A1:A6,data!A1:A6&gt;100,"none")</f>
        <v>none</v>
      </c>
    </row>
    <row r="76" spans="1:1" x14ac:dyDescent="0.35">
      <c r="A76" cm="1">
        <f t="array" ref="A76">_xlfn._xlws.FILTER(data!A1:A6,data!A1:A6&gt;100,0)</f>
        <v>0</v>
      </c>
    </row>
    <row r="77" spans="1:1" x14ac:dyDescent="0.35">
      <c r="A77" cm="1">
        <f t="array" ref="A77">SUM(_xlfn._xlws.FILTER(data!E1:F3,{TRUE,FALSE}))</f>
        <v>9</v>
      </c>
    </row>
    <row r="78" spans="1:1" x14ac:dyDescent="0.35">
      <c r="A78" t="e" cm="1">
        <f t="array" ref="A78">_xlfn._xlws.FILTER(data!A1:A6,data!A1:A5&gt;1)</f>
        <v>#VALUE!</v>
      </c>
    </row>
    <row r="79" spans="1:1" x14ac:dyDescent="0.35">
      <c r="A79" cm="1">
        <f t="array" ref="A79">SUM(_xlfn._xlws.FILTER(data!A1:A6,(data!A1:A6&gt;1)*(data!A1:A6&lt;5)))</f>
        <v>7</v>
      </c>
    </row>
    <row r="80" spans="1:1" x14ac:dyDescent="0.35">
      <c r="A80" cm="1">
        <f t="array" ref="A80">ROWS(_xlfn._xlws.FILTER(data!A1:A6,data!C1:C6))</f>
        <v>6</v>
      </c>
    </row>
    <row r="81" spans="1:1" x14ac:dyDescent="0.35">
      <c r="A81" t="e" cm="1">
        <f t="array" ref="A81">_xlfn._xlws.FILTER(data!A1:A6,data!B1:B6)</f>
        <v>#VALUE!</v>
      </c>
    </row>
    <row r="82" spans="1:1" x14ac:dyDescent="0.35">
      <c r="A82" cm="1">
        <f t="array" ref="A82">COUNTA(_xlfn._xlws.FILTER(data!B1:B6,data!A1:A6&gt;0))</f>
        <v>6</v>
      </c>
    </row>
    <row r="83" spans="1:1" x14ac:dyDescent="0.35">
      <c r="A83" cm="1">
        <f t="array" ref="A83">SUM(ISBLANK(_xlfn._xlws.FILTER(data!B1:B6,data!A1:A6&gt;0))*1)</f>
        <v>1</v>
      </c>
    </row>
    <row r="84" spans="1:1" x14ac:dyDescent="0.35">
      <c r="A84" t="str" cm="1">
        <f t="array" ref="A84">_xlfn.TEXTJOIN(",",FALSE,_xlfn._xlws.FILTER(data!B1:B6,data!A1:A6&gt;0))</f>
        <v>pear,Apple,fig,apple,Date,</v>
      </c>
    </row>
    <row r="85" spans="1:1" x14ac:dyDescent="0.35">
      <c r="A85" cm="1">
        <f t="array" ref="A85">INDEX(_xlfn._xlws.SORT(data!A1:A6),1)</f>
        <v>1</v>
      </c>
    </row>
    <row r="86" spans="1:1" x14ac:dyDescent="0.35">
      <c r="A86" cm="1">
        <f t="array" ref="A86">INDEX(_xlfn._xlws.SORT(data!A1:A6),6)</f>
        <v>9</v>
      </c>
    </row>
    <row r="87" spans="1:1" x14ac:dyDescent="0.35">
      <c r="A87" cm="1">
        <f t="array" ref="A87">INDEX(_xlfn._xlws.SORT(data!A1:A6,1,-1),1)</f>
        <v>9</v>
      </c>
    </row>
    <row r="88" spans="1:1" x14ac:dyDescent="0.35">
      <c r="A88" t="str" cm="1">
        <f t="array" ref="A88">INDEX(_xlfn._xlws.SORT(data!B1:B5),1)</f>
        <v>Apple</v>
      </c>
    </row>
    <row r="89" spans="1:1" x14ac:dyDescent="0.35">
      <c r="A89" t="str" cm="1">
        <f t="array" ref="A89">INDEX(_xlfn._xlws.SORT(data!B1:B5),2)</f>
        <v>apple</v>
      </c>
    </row>
    <row r="90" spans="1:1" x14ac:dyDescent="0.35">
      <c r="A90" cm="1">
        <f t="array" ref="A90">INDEX(_xlfn._xlws.SORT(data!B1:B6),6)</f>
        <v>0</v>
      </c>
    </row>
    <row r="91" spans="1:1" x14ac:dyDescent="0.35">
      <c r="A91" cm="1">
        <f t="array" ref="A91">INDEX(_xlfn._xlws.SORT(data!E1:F3,2,-1),1,1)</f>
        <v>5</v>
      </c>
    </row>
    <row r="92" spans="1:1" x14ac:dyDescent="0.35">
      <c r="A92" cm="1">
        <f t="array" ref="A92">INDEX(_xlfn._xlws.SORT(data!E1:F3,1,1,TRUE),1,1)</f>
        <v>1</v>
      </c>
    </row>
    <row r="93" spans="1:1" x14ac:dyDescent="0.35">
      <c r="A93" cm="1">
        <f t="array" ref="A93">INDEX(_xlfn._xlws.SORT({3,1,2},1,1,TRUE),1)</f>
        <v>1</v>
      </c>
    </row>
    <row r="94" spans="1:1" x14ac:dyDescent="0.35">
      <c r="A94" t="str" cm="1">
        <f t="array" ref="A94">INDEX(_xlfn._xlws.SORT({"b";"A";"a";"B"}),1)</f>
        <v>A</v>
      </c>
    </row>
    <row r="95" spans="1:1" x14ac:dyDescent="0.35">
      <c r="A95" t="str" cm="1">
        <f t="array" ref="A95">INDEX(_xlfn._xlws.SORT({2;"a";TRUE;1}),3)</f>
        <v>a</v>
      </c>
    </row>
    <row r="96" spans="1:1" x14ac:dyDescent="0.35">
      <c r="A96" t="b" cm="1">
        <f t="array" ref="A96">INDEX(_xlfn._xlws.SORT({2;"a";TRUE;1}),4)</f>
        <v>1</v>
      </c>
    </row>
    <row r="97" spans="1:1" x14ac:dyDescent="0.35">
      <c r="A97" t="b" cm="1">
        <f t="array" ref="A97">INDEX(_xlfn._xlws.SORT({2;"a";TRUE;1},1,-1),1)</f>
        <v>1</v>
      </c>
    </row>
    <row r="98" spans="1:1" x14ac:dyDescent="0.35">
      <c r="A98" t="e" cm="1">
        <f t="array" ref="A98">INDEX(_xlfn._xlws.SORT({3;1;2},1,0),1)</f>
        <v>#VALUE!</v>
      </c>
    </row>
    <row r="99" spans="1:1" x14ac:dyDescent="0.35">
      <c r="A99" t="e" cm="1">
        <f t="array" ref="A99">INDEX(_xlfn._xlws.SORT({3;1;2},2),1)</f>
        <v>#VALUE!</v>
      </c>
    </row>
    <row r="100" spans="1:1" x14ac:dyDescent="0.35">
      <c r="A100" cm="1">
        <f t="array" ref="A100">INDEX(_xlfn._xlws.SORT(data!E1:F3,{2,1},{-1,1}),1,2)</f>
        <v>6</v>
      </c>
    </row>
    <row r="101" spans="1:1" x14ac:dyDescent="0.35">
      <c r="A101" t="str" cm="1">
        <f t="array" ref="A101">INDEX(_xlfn.SORTBY(data!B1:B5,data!A1:A5),1)</f>
        <v>Apple</v>
      </c>
    </row>
    <row r="102" spans="1:1" x14ac:dyDescent="0.35">
      <c r="A102" t="str" cm="1">
        <f t="array" ref="A102">INDEX(_xlfn.SORTBY(data!B1:B5,data!A1:A5,-1),1)</f>
        <v>Date</v>
      </c>
    </row>
    <row r="103" spans="1:1" x14ac:dyDescent="0.35">
      <c r="A103" cm="1">
        <f t="array" ref="A103">INDEX(_xlfn.SORTBY(data!C1:C6,data!A1:A6,1,data!C1:C6,-1),1)</f>
        <v>40</v>
      </c>
    </row>
    <row r="104" spans="1:1" x14ac:dyDescent="0.35">
      <c r="A104" t="e" cm="1">
        <f t="array" ref="A104">_xlfn.SORTBY(data!A1:A6,data!A1:A5)</f>
        <v>#VALUE!</v>
      </c>
    </row>
    <row r="105" spans="1:1" x14ac:dyDescent="0.35">
      <c r="A105" t="str" cm="1">
        <f t="array" ref="A105">_xlfn.TEXTJOIN(",",TRUE,_xlfn._xlws.SORT(data!B1:B5))</f>
        <v>Apple,apple,Date,fig,pear</v>
      </c>
    </row>
    <row r="106" spans="1:1" x14ac:dyDescent="0.35">
      <c r="A106" cm="1">
        <f t="array" ref="A106">ROWS(_xlfn.UNIQUE(data!A1:A6))</f>
        <v>5</v>
      </c>
    </row>
    <row r="107" spans="1:1" x14ac:dyDescent="0.35">
      <c r="A107" cm="1">
        <f t="array" ref="A107">ROWS(_xlfn.UNIQUE(data!A1:A6,FALSE,TRUE))</f>
        <v>4</v>
      </c>
    </row>
    <row r="108" spans="1:1" x14ac:dyDescent="0.35">
      <c r="A108" cm="1">
        <f t="array" ref="A108">ROWS(_xlfn.UNIQUE(data!B1:B5))</f>
        <v>4</v>
      </c>
    </row>
    <row r="109" spans="1:1" x14ac:dyDescent="0.35">
      <c r="A109" t="str" cm="1">
        <f t="array" ref="A109">INDEX(_xlfn.UNIQUE(data!B1:B5),2)</f>
        <v>Apple</v>
      </c>
    </row>
    <row r="110" spans="1:1" x14ac:dyDescent="0.35">
      <c r="A110" cm="1">
        <f t="array" ref="A110">COLUMNS(_xlfn.UNIQUE({1,1,2},TRUE))</f>
        <v>2</v>
      </c>
    </row>
    <row r="111" spans="1:1" x14ac:dyDescent="0.35">
      <c r="A111" t="e" cm="1" vm="1">
        <f t="array" ref="A111">_xlfn.UNIQUE({1;1},FALSE,TRUE)</f>
        <v>#VALUE!</v>
      </c>
    </row>
    <row r="112" spans="1:1" x14ac:dyDescent="0.35">
      <c r="A112" cm="1">
        <f t="array" ref="A112">ROWS(_xlfn.UNIQUE(data!B1:B6))</f>
        <v>5</v>
      </c>
    </row>
    <row r="113" spans="1:1" x14ac:dyDescent="0.35">
      <c r="A113" cm="1">
        <f t="array" ref="A113">ROWS(_xlfn.UNIQUE(data!I1:I2))</f>
        <v>2</v>
      </c>
    </row>
    <row r="114" spans="1:1" x14ac:dyDescent="0.35">
      <c r="A114" cm="1">
        <f t="array" ref="A114">INDEX(TRANSPOSE(data!E1:F3),2,3)</f>
        <v>6</v>
      </c>
    </row>
    <row r="115" spans="1:1" x14ac:dyDescent="0.35">
      <c r="A115" cm="1">
        <f t="array" ref="A115">ROWS(TRANSPOSE(data!A1:A6))</f>
        <v>1</v>
      </c>
    </row>
    <row r="116" spans="1:1" x14ac:dyDescent="0.35">
      <c r="A116" cm="1">
        <f t="array" ref="A116">COLUMNS(TRANSPOSE(data!A1:A6))</f>
        <v>6</v>
      </c>
    </row>
    <row r="117" spans="1:1" x14ac:dyDescent="0.35">
      <c r="A117" cm="1">
        <f t="array" ref="A117">SUM(TRANSPOSE(data!A1:A6)*{1,1,1,1,1,1})</f>
        <v>23</v>
      </c>
    </row>
    <row r="118" spans="1:1" x14ac:dyDescent="0.35">
      <c r="A118" cm="1">
        <f t="array" ref="A118">INDEX(TRANSPOSE(data!B1:B6),1,6)</f>
        <v>0</v>
      </c>
    </row>
    <row r="119" spans="1:1" x14ac:dyDescent="0.35">
      <c r="A119" cm="1">
        <f t="array" ref="A119">COUNTA(TRANSPOSE(data!B1:B6))</f>
        <v>6</v>
      </c>
    </row>
    <row r="120" spans="1:1" x14ac:dyDescent="0.35">
      <c r="A120" cm="1">
        <f t="array" ref="A120">INDEX(MMULT(data!E1:F3,{1;1}),3,1)</f>
        <v>11</v>
      </c>
    </row>
    <row r="121" spans="1:1" x14ac:dyDescent="0.35">
      <c r="A121" cm="1">
        <f t="array" ref="A121">INDEX(MMULT({1,2},{3;4}),1,1)</f>
        <v>11</v>
      </c>
    </row>
    <row r="122" spans="1:1" x14ac:dyDescent="0.35">
      <c r="A122" t="e" cm="1">
        <f t="array" ref="A122">MMULT({1,2},{3,4})</f>
        <v>#VALUE!</v>
      </c>
    </row>
    <row r="123" spans="1:1" x14ac:dyDescent="0.35">
      <c r="A123" t="e" cm="1">
        <f t="array" ref="A123">MMULT({1,"a"},{1;1})</f>
        <v>#VALUE!</v>
      </c>
    </row>
    <row r="124" spans="1:1" x14ac:dyDescent="0.35">
      <c r="A124" t="e" cm="1">
        <f t="array" ref="A124">MMULT({1,#N/A},{1;1})</f>
        <v>#N/A</v>
      </c>
    </row>
    <row r="125" spans="1:1" x14ac:dyDescent="0.35">
      <c r="A125" cm="1">
        <f t="array" ref="A125">SUM(MMULT(data!E1:F3,data!G1:G2))</f>
        <v>159</v>
      </c>
    </row>
    <row r="126" spans="1:1" x14ac:dyDescent="0.35">
      <c r="A126" cm="1">
        <f t="array" ref="A126">INDEX(_xlfn.CHOOSECOLS(data!E1:F3,2),3)</f>
        <v>6</v>
      </c>
    </row>
    <row r="127" spans="1:1" x14ac:dyDescent="0.35">
      <c r="A127" cm="1">
        <f t="array" ref="A127">INDEX(_xlfn.CHOOSECOLS(data!E1:F3,-1,1),1,2)</f>
        <v>1</v>
      </c>
    </row>
    <row r="128" spans="1:1" x14ac:dyDescent="0.35">
      <c r="A128" t="e" cm="1">
        <f t="array" ref="A128">_xlfn.CHOOSECOLS(data!E1:F3,3)</f>
        <v>#VALUE!</v>
      </c>
    </row>
    <row r="129" spans="1:1" x14ac:dyDescent="0.35">
      <c r="A129" t="e" cm="1">
        <f t="array" ref="A129">_xlfn.CHOOSECOLS(data!E1:F3,0)</f>
        <v>#VALUE!</v>
      </c>
    </row>
    <row r="130" spans="1:1" x14ac:dyDescent="0.35">
      <c r="A130" cm="1">
        <f t="array" ref="A130">SUM(_xlfn.CHOOSEROWS(data!A1:A6,{1,6}))</f>
        <v>12</v>
      </c>
    </row>
    <row r="131" spans="1:1" x14ac:dyDescent="0.35">
      <c r="A131" cm="1">
        <f t="array" ref="A131">INDEX(_xlfn.CHOOSEROWS(data!E1:F3,-1),1,1)</f>
        <v>5</v>
      </c>
    </row>
    <row r="132" spans="1:1" x14ac:dyDescent="0.35">
      <c r="A132" cm="1">
        <f t="array" ref="A132">SUM(_xlfn.TAKE(data!A1:A6,2))</f>
        <v>4</v>
      </c>
    </row>
    <row r="133" spans="1:1" x14ac:dyDescent="0.35">
      <c r="A133" cm="1">
        <f t="array" ref="A133">SUM(_xlfn.TAKE(data!A1:A6,-2))</f>
        <v>14</v>
      </c>
    </row>
    <row r="134" spans="1:1" x14ac:dyDescent="0.35">
      <c r="A134" cm="1">
        <f t="array" ref="A134">SUM(_xlfn.TAKE(data!E1:F3,2,1))</f>
        <v>4</v>
      </c>
    </row>
    <row r="135" spans="1:1" x14ac:dyDescent="0.35">
      <c r="A135" cm="1">
        <f t="array" ref="A135">SUM(_xlfn.TAKE(data!A1:A6,10))</f>
        <v>23</v>
      </c>
    </row>
    <row r="136" spans="1:1" x14ac:dyDescent="0.35">
      <c r="A136" t="e" cm="1" vm="1">
        <f t="array" ref="A136">_xlfn.TAKE(data!A1:A6,0)</f>
        <v>#VALUE!</v>
      </c>
    </row>
    <row r="137" spans="1:1" x14ac:dyDescent="0.35">
      <c r="A137" cm="1">
        <f t="array" ref="A137">SUM(_xlfn.DROP(data!A1:A6,2))</f>
        <v>19</v>
      </c>
    </row>
    <row r="138" spans="1:1" x14ac:dyDescent="0.35">
      <c r="A138" cm="1">
        <f t="array" ref="A138">SUM(_xlfn.DROP(data!A1:A6,-2))</f>
        <v>9</v>
      </c>
    </row>
    <row r="139" spans="1:1" x14ac:dyDescent="0.35">
      <c r="A139" t="e" cm="1" vm="1">
        <f t="array" ref="A139">_xlfn.DROP(data!A1:A6,6)</f>
        <v>#VALUE!</v>
      </c>
    </row>
    <row r="140" spans="1:1" x14ac:dyDescent="0.35">
      <c r="A140" cm="1">
        <f t="array" ref="A140">SUM(_xlfn.DROP(data!E1:F3,1,1))</f>
        <v>10</v>
      </c>
    </row>
    <row r="141" spans="1:1" x14ac:dyDescent="0.35">
      <c r="A141" cm="1">
        <f t="array" ref="A141">COLUMNS(_xlfn.HSTACK(data!A1:A6,data!E1:F3))</f>
        <v>3</v>
      </c>
    </row>
    <row r="142" spans="1:1" x14ac:dyDescent="0.35">
      <c r="A142" cm="1">
        <f t="array" ref="A142">ROWS(_xlfn.HSTACK(data!A1:A6,data!E1:F3))</f>
        <v>6</v>
      </c>
    </row>
    <row r="143" spans="1:1" x14ac:dyDescent="0.35">
      <c r="A143" t="e" cm="1">
        <f t="array" ref="A143">INDEX(_xlfn.HSTACK(data!A1:A6,data!E1:F3),6,2)</f>
        <v>#N/A</v>
      </c>
    </row>
    <row r="144" spans="1:1" x14ac:dyDescent="0.35">
      <c r="A144" cm="1">
        <f t="array" ref="A144">INDEX(_xlfn.HSTACK(1,2),1,2)</f>
        <v>2</v>
      </c>
    </row>
    <row r="145" spans="1:1" x14ac:dyDescent="0.35">
      <c r="A145" cm="1">
        <f t="array" ref="A145">ROWS(_xlfn.VSTACK(data!A1:A6,data!E1:F3))</f>
        <v>9</v>
      </c>
    </row>
    <row r="146" spans="1:1" x14ac:dyDescent="0.35">
      <c r="A146" t="e" cm="1">
        <f t="array" ref="A146">INDEX(_xlfn.VSTACK(data!A1:A6,data!E1:F3),1,2)</f>
        <v>#N/A</v>
      </c>
    </row>
    <row r="147" spans="1:1" x14ac:dyDescent="0.35">
      <c r="A147" t="e" cm="1">
        <f t="array" ref="A147">INDEX(_xlfn.VSTACK({1,2},{3}),2,2)</f>
        <v>#N/A</v>
      </c>
    </row>
    <row r="148" spans="1:1" x14ac:dyDescent="0.35">
      <c r="A148" cm="1">
        <f t="array" ref="A148">ROWS(_xlfn.TOCOL(data!E1:F3))</f>
        <v>6</v>
      </c>
    </row>
    <row r="149" spans="1:1" x14ac:dyDescent="0.35">
      <c r="A149" cm="1">
        <f t="array" ref="A149">INDEX(_xlfn.TOCOL(data!E1:F3),2)</f>
        <v>2</v>
      </c>
    </row>
    <row r="150" spans="1:1" x14ac:dyDescent="0.35">
      <c r="A150" cm="1">
        <f t="array" ref="A150">INDEX(_xlfn.TOCOL(data!E1:F3,0,TRUE),2)</f>
        <v>3</v>
      </c>
    </row>
    <row r="151" spans="1:1" x14ac:dyDescent="0.35">
      <c r="A151" cm="1">
        <f t="array" ref="A151">ROWS(_xlfn.TOCOL(data!B1:B6,1))</f>
        <v>5</v>
      </c>
    </row>
    <row r="152" spans="1:1" x14ac:dyDescent="0.35">
      <c r="A152" cm="1">
        <f t="array" ref="A152">ROWS(_xlfn.TOCOL(data!H1:H2,2))</f>
        <v>1</v>
      </c>
    </row>
    <row r="153" spans="1:1" x14ac:dyDescent="0.35">
      <c r="A153" t="e" cm="1" vm="1">
        <f t="array" ref="A153">_xlfn.TOCOL(data!B6,1)</f>
        <v>#VALUE!</v>
      </c>
    </row>
    <row r="154" spans="1:1" x14ac:dyDescent="0.35">
      <c r="A154" cm="1">
        <f t="array" ref="A154">COLUMNS(_xlfn.TOROW(data!E1:F3))</f>
        <v>6</v>
      </c>
    </row>
    <row r="155" spans="1:1" x14ac:dyDescent="0.35">
      <c r="A155" cm="1">
        <f t="array" ref="A155">INDEX(_xlfn.TOROW(data!E1:F3),1,3)</f>
        <v>3</v>
      </c>
    </row>
    <row r="156" spans="1:1" x14ac:dyDescent="0.35">
      <c r="A156" t="e" cm="1">
        <f t="array" ref="A156">INDEX(_xlfn.WRAPROWS(data!A1:A6,4),2,3)</f>
        <v>#N/A</v>
      </c>
    </row>
    <row r="157" spans="1:1" x14ac:dyDescent="0.35">
      <c r="A157" cm="1">
        <f t="array" ref="A157">INDEX(_xlfn.WRAPROWS(data!A1:A6,4,0),2,3)</f>
        <v>0</v>
      </c>
    </row>
    <row r="158" spans="1:1" x14ac:dyDescent="0.35">
      <c r="A158" t="e" cm="1">
        <f t="array" ref="A158">_xlfn.WRAPROWS(data!E1:F3,2)</f>
        <v>#VALUE!</v>
      </c>
    </row>
    <row r="159" spans="1:1" x14ac:dyDescent="0.35">
      <c r="A159" t="e" cm="1">
        <f t="array" ref="A159">_xlfn.WRAPROWS(data!A1:A6,0)</f>
        <v>#NUM!</v>
      </c>
    </row>
    <row r="160" spans="1:1" x14ac:dyDescent="0.35">
      <c r="A160" cm="1">
        <f t="array" ref="A160">INDEX(_xlfn.WRAPCOLS(data!A1:A6,4),3,1)</f>
        <v>4</v>
      </c>
    </row>
    <row r="161" spans="1:1" x14ac:dyDescent="0.35">
      <c r="A161" cm="1">
        <f t="array" ref="A161">ROWS(_xlfn.WRAPCOLS(data!A1:A6,4))</f>
        <v>4</v>
      </c>
    </row>
    <row r="162" spans="1:1" x14ac:dyDescent="0.35">
      <c r="A162" t="e" cm="1">
        <f t="array" ref="A162">INDEX(_xlfn.EXPAND(data!E1:F3,4,3),4,3)</f>
        <v>#N/A</v>
      </c>
    </row>
    <row r="163" spans="1:1" x14ac:dyDescent="0.35">
      <c r="A163" t="str" cm="1">
        <f t="array" ref="A163">INDEX(_xlfn.EXPAND(data!E1:F3,4,3,"-"),1,3)</f>
        <v>-</v>
      </c>
    </row>
    <row r="164" spans="1:1" x14ac:dyDescent="0.35">
      <c r="A164" t="e" cm="1">
        <f t="array" ref="A164">_xlfn.EXPAND(data!E1:F3,2,2)</f>
        <v>#VALUE!</v>
      </c>
    </row>
    <row r="165" spans="1:1" x14ac:dyDescent="0.35">
      <c r="A165" cm="1">
        <f t="array" ref="A165">ROWS(_xlfn.EXPAND({1},3))</f>
        <v>3</v>
      </c>
    </row>
    <row r="166" spans="1:1" x14ac:dyDescent="0.35">
      <c r="A166" cm="1">
        <f t="array" ref="A166">SUM(data!A1:A6*data!C1:C6)+ROWS(_xlfn.SEQUENCE(1))-1</f>
        <v>1000</v>
      </c>
    </row>
    <row r="167" spans="1:1" x14ac:dyDescent="0.35">
      <c r="A167" cm="1">
        <f t="array" ref="A167">SUM(LEN(data!B1:B6))+ROWS(_xlfn.SEQUENCE(1))-1</f>
        <v>21</v>
      </c>
    </row>
    <row r="168" spans="1:1" x14ac:dyDescent="0.35">
      <c r="A168" cm="1">
        <f t="array" ref="A168">SUM(IF(data!A1:A6&gt;2,data!C1:C6,0))+ROWS(_xlfn.SEQUENCE(1))-1</f>
        <v>150</v>
      </c>
    </row>
    <row r="169" spans="1:1" x14ac:dyDescent="0.35">
      <c r="A169" cm="1">
        <f t="array" ref="A169">SUM(ROW(data!A1:A6))+ROWS(_xlfn.SEQUENCE(1))-1</f>
        <v>21</v>
      </c>
    </row>
    <row r="170" spans="1:1" x14ac:dyDescent="0.35">
      <c r="A170" cm="1">
        <f t="array" ref="A170">SUM(ISBLANK(data!B1:B6)*1)+ROWS(_xlfn.SEQUENCE(1))-1</f>
        <v>1</v>
      </c>
    </row>
    <row r="171" spans="1:1" x14ac:dyDescent="0.35">
      <c r="A171" cm="1">
        <f t="array" ref="A171">SUM((data!B1:B6="")*1)+ROWS(_xlfn.SEQUENCE(1))-1</f>
        <v>1</v>
      </c>
    </row>
    <row r="172" spans="1:1" x14ac:dyDescent="0.35">
      <c r="A172" cm="1">
        <f t="array" ref="A172">SUM(CHOOSE({1,2},data!A1:A6,data!C1:C6))+ROWS(_xlfn.SEQUENCE(1))-1</f>
        <v>233</v>
      </c>
    </row>
    <row r="173" spans="1:1" x14ac:dyDescent="0.35">
      <c r="A173" cm="1">
        <f t="array" ref="A173">MAX(INDEX(data!A1:A6*data!C1:C6,0,1))</f>
        <v>540</v>
      </c>
    </row>
    <row r="174" spans="1:1" x14ac:dyDescent="0.35">
      <c r="A174" cm="1">
        <f t="array" ref="A174">SUM(INDEX(data!C1:C6,{1,6}))</f>
        <v>70</v>
      </c>
    </row>
    <row r="175" spans="1:1" x14ac:dyDescent="0.35">
      <c r="A175" cm="1">
        <f t="array" ref="A175">SUM(INDEX({10,20,30},{1,3}))</f>
        <v>40</v>
      </c>
    </row>
    <row r="176" spans="1:1" x14ac:dyDescent="0.35">
      <c r="A176" cm="1">
        <f t="array" ref="A176">_xlfn.SINGLE(_xlfn.SEQUENCE(3)*2)</f>
        <v>2</v>
      </c>
    </row>
    <row r="177" spans="1:1" x14ac:dyDescent="0.35">
      <c r="A177" cm="1">
        <f t="array" ref="A177">_xlfn.XLOOKUP(4,data!A1:A6,data!C1:C6)</f>
        <v>30</v>
      </c>
    </row>
    <row r="178" spans="1:1" x14ac:dyDescent="0.35">
      <c r="A178" cm="1">
        <f t="array" ref="A178">_xlfn.XLOOKUP(5,_xlfn.SEQUENCE(6),data!C1:C6)</f>
        <v>50</v>
      </c>
    </row>
    <row r="179" spans="1:1" x14ac:dyDescent="0.35">
      <c r="A179" cm="1">
        <f t="array" ref="A179">SUM(_xlfn.XLOOKUP({1,9},data!A1:A6,data!C1:C6))</f>
        <v>80</v>
      </c>
    </row>
    <row r="180" spans="1:1" x14ac:dyDescent="0.35">
      <c r="A180" t="str" cm="1">
        <f t="array" ref="A180">_xlfn.XLOOKUP(2,{1,2,3},{"a","b","c"})</f>
        <v>b</v>
      </c>
    </row>
    <row r="181" spans="1:1" x14ac:dyDescent="0.35">
      <c r="A181" cm="1">
        <f t="array" ref="A181">MATCH(5,_xlfn._xlws.SORT(data!A1:A6),0)</f>
        <v>5</v>
      </c>
    </row>
    <row r="182" spans="1:1" x14ac:dyDescent="0.35">
      <c r="A182" cm="1">
        <f t="array" ref="A182">VLOOKUP(4,_xlfn._xlws.SORT(data!A1:C6),3,FALSE)</f>
        <v>30</v>
      </c>
    </row>
    <row r="183" spans="1:1" x14ac:dyDescent="0.35">
      <c r="A183" cm="1">
        <f t="array" ref="A183">LOOKUP(4.5,_xlfn._xlws.SORT(data!A1:A6),_xlfn.SEQUENCE(6))</f>
        <v>4</v>
      </c>
    </row>
    <row r="184" spans="1:1" x14ac:dyDescent="0.35">
      <c r="A184" cm="1">
        <f t="array" ref="A184">INDEX({10,20;30,40},2,1)</f>
        <v>30</v>
      </c>
    </row>
    <row r="185" spans="1:1" x14ac:dyDescent="0.35">
      <c r="A185" t="str" cm="1">
        <f t="array" ref="A185">_xlfn.CONCAT(_xlfn.SEQUENCE(3))</f>
        <v>123</v>
      </c>
    </row>
    <row r="186" spans="1:1" x14ac:dyDescent="0.35">
      <c r="A186" t="str">
        <f>_xlfn.TEXTJOIN("-",FALSE,{"a","",TRUE})</f>
        <v>a--TRUE</v>
      </c>
    </row>
    <row r="187" spans="1:1" x14ac:dyDescent="0.35">
      <c r="A187" cm="1">
        <f t="array" ref="A187">SUM(data!A1:INDEX(data!A1:A6,3))</f>
        <v>8</v>
      </c>
    </row>
    <row r="188" spans="1:1" x14ac:dyDescent="0.35">
      <c r="A188" cm="1">
        <f t="array" ref="A188">SUM(INDEX(data!A1:A6,2):INDEX(data!A1:A6,4))</f>
        <v>6</v>
      </c>
    </row>
    <row r="189" spans="1:1" x14ac:dyDescent="0.35">
      <c r="A189" cm="1">
        <f t="array" ref="A189">ROWS(data!A1:INDEX(data!A:A,4))</f>
        <v>4</v>
      </c>
    </row>
    <row r="190" spans="1:1" x14ac:dyDescent="0.35">
      <c r="A190" cm="1">
        <f t="array" ref="A190">SUM(data!A1:INDEX(data!C1:C6,2))</f>
        <v>34</v>
      </c>
    </row>
    <row r="191" spans="1:1" x14ac:dyDescent="0.35">
      <c r="A191" t="e" cm="1">
        <f t="array" ref="A191">SUM(data!A1:INDEX(data!A1:A6,7))</f>
        <v>#REF!</v>
      </c>
    </row>
    <row r="192" spans="1:1" x14ac:dyDescent="0.35">
      <c r="A192">
        <f>SUM(data!A1:IF(TRUE,data!A3,data!A5))</f>
        <v>8</v>
      </c>
    </row>
    <row r="193" spans="1:1" x14ac:dyDescent="0.35">
      <c r="A193" cm="1">
        <f t="array" ref="A193">SUM(data!A1:CHOOSE(2,data!A2,data!A6))</f>
        <v>23</v>
      </c>
    </row>
    <row r="194" spans="1:1" x14ac:dyDescent="0.35">
      <c r="A194">
        <f>ROWS(data!A2:'data'!A5)</f>
        <v>4</v>
      </c>
    </row>
    <row r="195" spans="1:1" x14ac:dyDescent="0.35">
      <c r="A195" t="e" cm="1">
        <f t="array" ref="A195">SUM(_xlfn.SEQUENCE(2000000))</f>
        <v>#VALUE!</v>
      </c>
    </row>
    <row r="196" spans="1:1" x14ac:dyDescent="0.35">
      <c r="A196" t="b" cm="1">
        <f t="array" ref="A196">INDEX(_xlfn._xlws.SORT({#N/A;TRUE;1;"a"}),3)</f>
        <v>1</v>
      </c>
    </row>
    <row r="197" spans="1:1" x14ac:dyDescent="0.35">
      <c r="A197" t="b" cm="1">
        <f t="array" ref="A197">INDEX(_xlfn._xlws.SORT({#N/A;TRUE;1;"a"},1,-1),2)</f>
        <v>1</v>
      </c>
    </row>
    <row r="198" spans="1:1" x14ac:dyDescent="0.35">
      <c r="A198">
        <f>SUM(_xlfn.IFNA(MOD({5,6,7},{2,3}),100))</f>
        <v>1</v>
      </c>
    </row>
    <row r="199" spans="1:1" x14ac:dyDescent="0.35">
      <c r="A199" t="str" cm="1">
        <f t="array" ref="A199">_xlfn.TEXTJOIN(",",TRUE,_xlfn.SORTBY(_xlfn.SEQUENCE(40),MOD(_xlfn.SEQUENCE(40),2)))</f>
        <v>2,4,6,8,10,12,14,16,18,20,22,24,26,28,30,32,34,36,38,40,1,3,5,7,9,11,13,15,17,19,21,23,25,27,29,31,33,35,37,39</v>
      </c>
    </row>
    <row r="200" spans="1:1" x14ac:dyDescent="0.35">
      <c r="A200" cm="1">
        <f t="array" ref="A200">SUM(IFERROR(_xlfn.SEQUENCE(1,3)/{1,0,1},{10,20}))</f>
        <v>24</v>
      </c>
    </row>
    <row r="201" spans="1:1" x14ac:dyDescent="0.35">
      <c r="A201" cm="1">
        <f t="array" ref="A201">SUM(VLOOKUP(3,data!A1:C6,_xlfn.SEQUENCE(1,2,1,2),FALSE))</f>
        <v>13</v>
      </c>
    </row>
    <row r="202" spans="1:1" x14ac:dyDescent="0.35">
      <c r="A202">
        <f>SUM(HLOOKUP(1,{1,2;10,20},{1,2},FALSE))</f>
        <v>1</v>
      </c>
    </row>
    <row r="203" spans="1:1" x14ac:dyDescent="0.35">
      <c r="A203">
        <f>SUM(VLOOKUP({3,4},data!A1:C6,3,FALSE))</f>
        <v>10</v>
      </c>
    </row>
    <row r="204" spans="1:1" x14ac:dyDescent="0.35">
      <c r="A204">
        <f>SUM(MATCH({4,9},data!A1:A6,0))</f>
        <v>9</v>
      </c>
    </row>
    <row r="205" spans="1:1" x14ac:dyDescent="0.35">
      <c r="A205" cm="1">
        <f t="array" ref="A205">SUM(LOOKUP({1,5},{1,5,9},{10,50,90}))</f>
        <v>60</v>
      </c>
    </row>
    <row r="206" spans="1:1" x14ac:dyDescent="0.35">
      <c r="A206" t="e">
        <f>SUMPRODUCT(IF(data!A1:A6&gt;2,1,0))</f>
        <v>#VALUE!</v>
      </c>
    </row>
    <row r="207" spans="1:1" x14ac:dyDescent="0.35">
      <c r="A207">
        <f>SUMPRODUCT(IFERROR(1/(data!A1:A6-1),0))</f>
        <v>0</v>
      </c>
    </row>
    <row r="208" spans="1:1" x14ac:dyDescent="0.35">
      <c r="A208" cm="1">
        <f t="array" ref="A208">SUM(CHOOSE({2,2,2},{10,20},5))</f>
        <v>15</v>
      </c>
    </row>
    <row r="209" spans="1:1" x14ac:dyDescent="0.35">
      <c r="A209" cm="1">
        <f t="array" ref="A209">SUM(IF(_xlfn.SEQUENCE(1,3)&gt;5,{1,2},7))</f>
        <v>21</v>
      </c>
    </row>
    <row r="210" spans="1:1" x14ac:dyDescent="0.35">
      <c r="A210" cm="1">
        <f t="array" ref="A210">SUMPRODUCT(IF(data!A1:A6&gt;2,_xlfn.SEQUENCE(6)^0,0))</f>
        <v>4</v>
      </c>
    </row>
    <row r="211" spans="1:1" x14ac:dyDescent="0.35">
      <c r="A211" cm="1">
        <f t="array" ref="A211">COUNTA(_xlfn._xlws.SORT(data!B1:B6))</f>
        <v>6</v>
      </c>
    </row>
    <row r="212" spans="1:1" x14ac:dyDescent="0.35">
      <c r="A212" cm="1">
        <f t="array" ref="A212">COUNT(TRANSPOSE(data!D1:D6))</f>
        <v>3</v>
      </c>
    </row>
    <row r="213" spans="1:1" x14ac:dyDescent="0.35">
      <c r="A213" t="e" vm="2">
        <f>LEN(_xlfn.TEXTJOIN(",",TRUE,REPT("x",20000),REPT("y",20000)))</f>
        <v>#VALUE!</v>
      </c>
    </row>
    <row r="214" spans="1:1" x14ac:dyDescent="0.35">
      <c r="A214" t="e" vm="3">
        <f>LEN(_xlfn.CONCAT(REPT("x",20000),REPT("y",20000)))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Frazaro</vt:lpstr>
      <vt:lpstr>data</vt:lpstr>
      <vt:lpstr>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 Johnson</dc:creator>
  <cp:lastModifiedBy>Preston Johnson</cp:lastModifiedBy>
  <dcterms:created xsi:type="dcterms:W3CDTF">2026-10-21T17:57:49Z</dcterms:created>
  <dcterms:modified xsi:type="dcterms:W3CDTF">2026-10-21T17:57:49Z</dcterms:modified>
</cp:coreProperties>
</file>