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Output" sheetId="2" r:id="rIdFrazaro2"/>
  </sheets>
  <definedNames>
    <definedName name="Frazaro.Build">"Frazaro 0.8.1; sentences sha256:BD2AF95AE8DED82D9164DAD53CD3EDB548FB43196B5B430549478A172370ABD8 over 918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Styles" Type="http://schemas.openxmlformats.org/officeDocument/2006/relationships/styles" Target="styles.xml"/>
<Relationship Id="rIdFrazaroMetadata" Type="http://schemas.openxmlformats.org/officeDocument/2006/relationships/sheetMetadata" Target="metadata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23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edges of the rules Excel's save of the subset fixture corrected (KERNEL.7, 2026-10-08): a number's General</t>
        </is>
      </c>
      <c r="C1" s="3" t="inlineStr">
        <is>
          <t xml:space="preserve">OK</t>
        </is>
      </c>
    </row>
    <row r="2">
      <c r="B2" s="1" t="inlineStr">
        <is>
          <t xml:space="preserve"># spelling at the exponents where fixed turns scientific, and a text read through a reference in a logical test.</t>
        </is>
      </c>
      <c r="C2" s="3" t="inlineStr">
        <is>
          <t xml:space="preserve">OK</t>
        </is>
      </c>
    </row>
    <row r="3">
      <c r="B3" s="1" t="inlineStr">
        <is>
          <t xml:space="preserve"># Built by frazaro into edges.xlsx (no cached values); an Excel 365 save of it beside, edges_saved.xlsx, witnesses them.</t>
        </is>
      </c>
      <c r="C3" s="3" t="inlineStr">
        <is>
          <t xml:space="preserve">OK</t>
        </is>
      </c>
    </row>
    <row r="5">
      <c r="B5" s="1" t="inlineStr">
        <is>
          <t xml:space="preserve">Put "TRUE" into cell A1.</t>
        </is>
      </c>
      <c r="C5" s="3" t="inlineStr">
        <is>
          <t xml:space="preserve">OK</t>
        </is>
      </c>
    </row>
    <row r="6">
      <c r="B6" s="1" t="inlineStr">
        <is>
          <t xml:space="preserve">Put "false" into cell A2.</t>
        </is>
      </c>
      <c r="C6" s="3" t="inlineStr">
        <is>
          <t xml:space="preserve">OK</t>
        </is>
      </c>
    </row>
    <row r="7">
      <c r="B7" s="1" t="inlineStr">
        <is>
          <t xml:space="preserve">Put "1" into cell A3.</t>
        </is>
      </c>
      <c r="C7" s="3" t="inlineStr">
        <is>
          <t xml:space="preserve">OK</t>
        </is>
      </c>
    </row>
    <row r="8">
      <c r="B8" s="1" t="inlineStr">
        <is>
          <t xml:space="preserve">Put formula "=10^14&amp;""""" into cell C1.</t>
        </is>
      </c>
      <c r="C8" s="3" t="inlineStr">
        <is>
          <t xml:space="preserve">OK</t>
        </is>
      </c>
    </row>
    <row r="9">
      <c r="B9" s="1" t="inlineStr">
        <is>
          <t xml:space="preserve">Put formula "=10^15&amp;""""" into cell C2.</t>
        </is>
      </c>
      <c r="C9" s="3" t="inlineStr">
        <is>
          <t xml:space="preserve">OK</t>
        </is>
      </c>
    </row>
    <row r="10">
      <c r="B10" s="1" t="inlineStr">
        <is>
          <t xml:space="preserve">Put formula "=10^15-1&amp;""""" into cell C3.</t>
        </is>
      </c>
      <c r="C10" s="3" t="inlineStr">
        <is>
          <t xml:space="preserve">OK</t>
        </is>
      </c>
    </row>
    <row r="11">
      <c r="B11" s="1" t="inlineStr">
        <is>
          <t xml:space="preserve">Put formula "=2^57&amp;""""" into cell C4.</t>
        </is>
      </c>
      <c r="C11" s="3" t="inlineStr">
        <is>
          <t xml:space="preserve">OK</t>
        </is>
      </c>
    </row>
    <row r="12">
      <c r="B12" s="1" t="inlineStr">
        <is>
          <t xml:space="preserve">Put formula "=10^-14&amp;""""" into cell C5.</t>
        </is>
      </c>
      <c r="C12" s="3" t="inlineStr">
        <is>
          <t xml:space="preserve">OK</t>
        </is>
      </c>
    </row>
    <row r="13">
      <c r="B13" s="1" t="inlineStr">
        <is>
          <t xml:space="preserve">Put formula "=10^-15&amp;""""" into cell C6.</t>
        </is>
      </c>
      <c r="C13" s="3" t="inlineStr">
        <is>
          <t xml:space="preserve">OK</t>
        </is>
      </c>
    </row>
    <row r="14">
      <c r="B14" s="1" t="inlineStr">
        <is>
          <t xml:space="preserve">Put formula "=1/3*10^-5&amp;""""" into cell C7.</t>
        </is>
      </c>
      <c r="C14" s="3" t="inlineStr">
        <is>
          <t xml:space="preserve">OK</t>
        </is>
      </c>
    </row>
    <row r="15">
      <c r="B15" s="1" t="inlineStr">
        <is>
          <t xml:space="preserve">Put formula "=1/3*10^-10&amp;""""" into cell C8.</t>
        </is>
      </c>
      <c r="C15" s="3" t="inlineStr">
        <is>
          <t xml:space="preserve">OK</t>
        </is>
      </c>
    </row>
    <row r="16">
      <c r="B16" s="1" t="inlineStr">
        <is>
          <t xml:space="preserve">Put formula "=-0.0000001&amp;""""" into cell C9.</t>
        </is>
      </c>
      <c r="C16" s="3" t="inlineStr">
        <is>
          <t xml:space="preserve">OK</t>
        </is>
      </c>
    </row>
    <row r="17">
      <c r="B17" s="1" t="inlineStr">
        <is>
          <t xml:space="preserve">Put formula "=1/7*10^6&amp;""""" into cell C10.</t>
        </is>
      </c>
      <c r="C17" s="3" t="inlineStr">
        <is>
          <t xml:space="preserve">OK</t>
        </is>
      </c>
    </row>
    <row r="18">
      <c r="B18" s="1" t="inlineStr">
        <is>
          <t xml:space="preserve">Put formula "=2^0.5&amp;""""" into cell C11.</t>
        </is>
      </c>
      <c r="C18" s="3" t="inlineStr">
        <is>
          <t xml:space="preserve">OK</t>
        </is>
      </c>
    </row>
    <row r="19">
      <c r="B19" s="1" t="inlineStr">
        <is>
          <t xml:space="preserve">Put formula "=NOT(A1)" into cell C12.</t>
        </is>
      </c>
      <c r="C19" s="3" t="inlineStr">
        <is>
          <t xml:space="preserve">OK</t>
        </is>
      </c>
    </row>
    <row r="20">
      <c r="B20" s="1" t="inlineStr">
        <is>
          <t xml:space="preserve">Put formula "=IFS(A1,1,TRUE,2)" into cell C13.</t>
        </is>
      </c>
      <c r="C20" s="3" t="inlineStr">
        <is>
          <t xml:space="preserve">OK</t>
        </is>
      </c>
    </row>
    <row r="21">
      <c r="B21" s="1" t="inlineStr">
        <is>
          <t xml:space="preserve">Put formula "=IF(A2,1,2)" into cell C14.</t>
        </is>
      </c>
      <c r="C21" s="3" t="inlineStr">
        <is>
          <t xml:space="preserve">OK</t>
        </is>
      </c>
    </row>
    <row r="22">
      <c r="B22" s="1" t="inlineStr">
        <is>
          <t xml:space="preserve">Put formula "=IF(A3,1,2)" into cell C15.</t>
        </is>
      </c>
      <c r="C22" s="3" t="inlineStr">
        <is>
          <t xml:space="preserve">OK</t>
        </is>
      </c>
    </row>
    <row r="23">
      <c r="B23" s="1" t="inlineStr">
        <is>
          <t xml:space="preserve">Put formula "=OR(A1)" into cell C16.</t>
        </is>
      </c>
      <c r="C23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A1" sqref="A1"/>
    </sheetView>
  </sheetViews>
  <sheetFormatPr defaultRowHeight="15"/>
  <sheetData>
    <row r="1">
      <c r="A1" s="0" t="inlineStr">
        <is>
          <t xml:space="preserve">TRUE</t>
        </is>
      </c>
      <c r="C1" s="0" t="str">
        <f>10^14&amp;""</f>
        <v>100000000000000</v>
      </c>
    </row>
    <row r="2">
      <c r="A2" s="0" t="inlineStr">
        <is>
          <t xml:space="preserve">false</t>
        </is>
      </c>
      <c r="C2" s="0" t="str">
        <f>10^15&amp;""</f>
        <v>1E+15</v>
      </c>
    </row>
    <row r="3">
      <c r="A3" s="0" t="inlineStr">
        <is>
          <t xml:space="preserve">1</t>
        </is>
      </c>
      <c r="C3" s="0" t="str">
        <f>10^15-1&amp;""</f>
        <v>999999999999999</v>
      </c>
    </row>
    <row r="4">
      <c r="C4" s="0" t="str">
        <f>2^57&amp;""</f>
        <v>1.44115188075856E+17</v>
      </c>
    </row>
    <row r="5">
      <c r="C5" s="0" t="str">
        <f>10^-14&amp;""</f>
        <v>0.00000000000001</v>
      </c>
    </row>
    <row r="6">
      <c r="C6" s="0" t="str">
        <f>10^-15&amp;""</f>
        <v>1E-15</v>
      </c>
    </row>
    <row r="7">
      <c r="C7" s="0" t="str">
        <f>1/3*10^-5&amp;""</f>
        <v>0.00000333333333333333</v>
      </c>
    </row>
    <row r="8">
      <c r="C8" s="0" t="str">
        <f>1/3*10^-10&amp;""</f>
        <v>0.0000000000333333333333333</v>
      </c>
    </row>
    <row r="9">
      <c r="C9" s="0" t="str">
        <f>-0.0000001&amp;""</f>
        <v>-0.0000001</v>
      </c>
    </row>
    <row r="10">
      <c r="C10" s="0" t="str">
        <f>1/7*10^6&amp;""</f>
        <v>142857.142857143</v>
      </c>
    </row>
    <row r="11">
      <c r="C11" s="0" t="str">
        <f>2^0.5&amp;""</f>
        <v>1.4142135623731</v>
      </c>
    </row>
    <row r="12">
      <c r="C12" s="0" t="b">
        <f>NOT(A1)</f>
        <v>0</v>
      </c>
    </row>
    <row r="13">
      <c r="C13" s="0" cm="1">
        <f t="array" ref="C13">_xlfn.IFS(A1,1,TRUE,2)</f>
        <v>1</v>
      </c>
    </row>
    <row r="14">
      <c r="C14" s="0">
        <f>IF(A2,1,2)</f>
        <v>2</v>
      </c>
    </row>
    <row r="15">
      <c r="C15" s="0" t="e">
        <f>IF(A3,1,2)</f>
        <v>#VALUE!</v>
      </c>
    </row>
    <row r="16">
      <c r="C16" s="0" t="e">
        <f>OR(A1)</f>
        <v>#VALUE!</v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