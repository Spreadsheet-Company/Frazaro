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13_ncr:1_{65E9EEE2-5FC8-4436-9933-F54B33F9ACF0}" xr6:coauthVersionLast="47" xr6:coauthVersionMax="47" xr10:uidLastSave="{00000000-0000-0000-0000-000000000000}"/>
  <bookViews>
    <workbookView xWindow="2000" yWindow="2080" windowWidth="19290" windowHeight="15060" xr2:uid="{00000000-000D-0000-FFFF-FFFF00000000}"/>
  </bookViews>
  <sheets>
    <sheet name="Frazaro" sheetId="1" r:id="rId1"/>
    <sheet name="table" sheetId="2" r:id="rId2"/>
    <sheet name="lookups" sheetId="3" r:id="rId3"/>
    <sheet name="criteria" sheetId="4" r:id="rId4"/>
  </sheets>
  <definedNames>
    <definedName name="Frazaro.Build">_xlfn._LONGTEXT("Frazaro 0.10.1; sentences sha256:5817A05EC17BE068C4633E228FF5A89D5F807559AB75C2392A9F06E225FD3C21 over 10660 non-whitespace bytes; prelude sha256:887F55C46AA71563EE5DE0F74E3D4DB1C0022986248AD1FBF8A7A63711AC508C over 27033 non-whitespace bytes; phrasebook ","1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H37" i="4"/>
  <c r="H36" i="4"/>
  <c r="H35" i="4"/>
  <c r="H34" i="4"/>
  <c r="H32" i="4"/>
  <c r="H31" i="4"/>
  <c r="H30" i="4"/>
  <c r="H29" i="4"/>
  <c r="H28" i="4"/>
  <c r="H26" i="4"/>
  <c r="H25" i="4"/>
  <c r="H24" i="4"/>
  <c r="H23" i="4"/>
  <c r="H21" i="4"/>
  <c r="H19" i="4"/>
  <c r="H18" i="4"/>
  <c r="H17" i="4"/>
  <c r="H16" i="4"/>
  <c r="H15" i="4"/>
  <c r="H14" i="4"/>
  <c r="H12" i="4"/>
  <c r="H11" i="4"/>
  <c r="H10" i="4"/>
  <c r="H9" i="4"/>
  <c r="H8" i="4"/>
  <c r="A8" i="4"/>
  <c r="H13" i="4" s="1"/>
  <c r="H7" i="4"/>
  <c r="H6" i="4"/>
  <c r="H5" i="4"/>
  <c r="H4" i="4"/>
  <c r="H3" i="4"/>
  <c r="H2" i="4"/>
  <c r="C2" i="4"/>
  <c r="H1" i="4"/>
  <c r="E1" i="4"/>
  <c r="H33" i="4" s="1"/>
  <c r="A120" i="3"/>
  <c r="A119" i="3"/>
  <c r="A118" i="3"/>
  <c r="A117" i="3"/>
  <c r="A116" i="3"/>
  <c r="A114" i="3"/>
  <c r="A113" i="3"/>
  <c r="A112" i="3"/>
  <c r="A111" i="3"/>
  <c r="A110" i="3"/>
  <c r="A109" i="3"/>
  <c r="A108" i="3"/>
  <c r="A107" i="3" a="1"/>
  <c r="A107" i="3" s="1"/>
  <c r="A106" i="3" a="1"/>
  <c r="A106" i="3" s="1"/>
  <c r="A105" i="3" a="1"/>
  <c r="A105" i="3"/>
  <c r="A104" i="3" a="1"/>
  <c r="A104" i="3"/>
  <c r="A103" i="3" a="1"/>
  <c r="A103" i="3"/>
  <c r="A102" i="3" a="1"/>
  <c r="A102" i="3" s="1"/>
  <c r="A101" i="3" a="1"/>
  <c r="A101" i="3"/>
  <c r="A100" i="3" a="1"/>
  <c r="A100" i="3"/>
  <c r="A99" i="3" a="1"/>
  <c r="A99" i="3" s="1"/>
  <c r="A98" i="3" a="1"/>
  <c r="A98" i="3"/>
  <c r="A97" i="3" a="1"/>
  <c r="A97" i="3"/>
  <c r="A96" i="3" a="1"/>
  <c r="A96" i="3"/>
  <c r="A95" i="3" a="1"/>
  <c r="A95" i="3"/>
  <c r="A94" i="3" a="1"/>
  <c r="A94" i="3"/>
  <c r="A93" i="3" a="1"/>
  <c r="A93" i="3"/>
  <c r="A92" i="3" a="1"/>
  <c r="A92" i="3" s="1"/>
  <c r="A91" i="3" a="1"/>
  <c r="A91" i="3"/>
  <c r="A90" i="3" a="1"/>
  <c r="A90" i="3"/>
  <c r="A89" i="3" a="1"/>
  <c r="A89" i="3" s="1"/>
  <c r="A88" i="3" a="1"/>
  <c r="A88" i="3"/>
  <c r="A87" i="3" a="1"/>
  <c r="A87" i="3"/>
  <c r="A86" i="3" a="1"/>
  <c r="A86" i="3"/>
  <c r="A85" i="3" a="1"/>
  <c r="A85" i="3"/>
  <c r="A84" i="3" a="1"/>
  <c r="A84" i="3"/>
  <c r="A83" i="3" a="1"/>
  <c r="A83" i="3"/>
  <c r="A82" i="3" a="1"/>
  <c r="A82" i="3" s="1"/>
  <c r="A81" i="3" a="1"/>
  <c r="A81" i="3"/>
  <c r="A80" i="3" a="1"/>
  <c r="A80" i="3"/>
  <c r="A79" i="3" a="1"/>
  <c r="A79" i="3" s="1"/>
  <c r="A78" i="3" a="1"/>
  <c r="A78" i="3" s="1"/>
  <c r="A77" i="3" a="1"/>
  <c r="A77" i="3"/>
  <c r="A76" i="3" a="1"/>
  <c r="A76" i="3"/>
  <c r="A75" i="3" a="1"/>
  <c r="A75" i="3"/>
  <c r="A74" i="3" a="1"/>
  <c r="A74" i="3"/>
  <c r="A73" i="3" a="1"/>
  <c r="A73" i="3"/>
  <c r="A72" i="3" a="1"/>
  <c r="A72" i="3" s="1"/>
  <c r="A71" i="3" a="1"/>
  <c r="A71" i="3"/>
  <c r="A70" i="3"/>
  <c r="A69" i="3"/>
  <c r="A68" i="3"/>
  <c r="A67" i="3"/>
  <c r="A66" i="3"/>
  <c r="A65" i="3"/>
  <c r="A63" i="3"/>
  <c r="A62" i="3"/>
  <c r="A61" i="3"/>
  <c r="A59" i="3"/>
  <c r="A58" i="3"/>
  <c r="A57" i="3"/>
  <c r="A56" i="3"/>
  <c r="A55" i="3"/>
  <c r="A54" i="3"/>
  <c r="A53" i="3"/>
  <c r="A52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6" i="3"/>
  <c r="A25" i="3"/>
  <c r="A24" i="3"/>
  <c r="A23" i="3"/>
  <c r="A22" i="3"/>
  <c r="A21" i="3"/>
  <c r="A20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E10" i="2"/>
  <c r="G6" i="2"/>
  <c r="A27" i="3" s="1"/>
  <c r="E5" i="2"/>
  <c r="A115" i="3" s="1"/>
  <c r="E3" i="2"/>
  <c r="A18" i="3" s="1"/>
  <c r="A60" i="3" l="1"/>
  <c r="H20" i="4"/>
  <c r="A17" i="3"/>
  <c r="A19" i="3"/>
  <c r="H22" i="4"/>
  <c r="A64" i="3"/>
  <c r="H27" i="4"/>
  <c r="A5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<sst xmlns="http://schemas.openxmlformats.org/spreadsheetml/2006/main" count="591" uniqueCount="308">
  <si>
    <t># The lookups' fixture (KERNEL.8, slice a): one formula per function, mode and rule the slice computes, over a</t>
  </si>
  <si>
    <t>OK</t>
  </si>
  <si>
    <t># Table sheet of vectors: ascending, descending, texts in two cases (letters alone, so that every rule orders them</t>
  </si>
  <si>
    <t># alike), every kind with an empty cell, an error and duplicates, and unsorted vectors on which the bisection's</t>
  </si>
  <si>
    <t># candidate rules answer differently. The Criteria sheet holds SUMIF and COUNTIF over the equality an index keys and</t>
  </si>
  <si>
    <t># the sizes and patterns the scan answers, an error in a sum range at a row met and at a row not met, and the two</t>
  </si>
  <si>
    <t># questions the equality turns on: a letter's case beyond ASCII, and two numbers equal to fifteen digits alone.</t>
  </si>
  <si>
    <t># Built by frazaro into lookups.xlsx (each value it computes held); the owner's save of it is lookups_saved.xlsx.</t>
  </si>
  <si>
    <t>Work on sheet Table.</t>
  </si>
  <si>
    <t>Put 10 into cell A1.</t>
  </si>
  <si>
    <t>Put 20 into cell A2.</t>
  </si>
  <si>
    <t>Put 30 into cell A3.</t>
  </si>
  <si>
    <t>Put 40 into cell A4.</t>
  </si>
  <si>
    <t>Put 50 into cell A5.</t>
  </si>
  <si>
    <t>Put 60 into cell A6.</t>
  </si>
  <si>
    <t>Put 70 into cell A7.</t>
  </si>
  <si>
    <t>Put 80 into cell A8.</t>
  </si>
  <si>
    <t>Put "r1" into cell B1.</t>
  </si>
  <si>
    <t>Put "r2" into cell B2.</t>
  </si>
  <si>
    <t>Put "r3" into cell B3.</t>
  </si>
  <si>
    <t>Put "r4" into cell B4.</t>
  </si>
  <si>
    <t>Put "r5" into cell B5.</t>
  </si>
  <si>
    <t>Put "r6" into cell B6.</t>
  </si>
  <si>
    <t>Put "r7" into cell B7.</t>
  </si>
  <si>
    <t>Put "r8" into cell B8.</t>
  </si>
  <si>
    <t>Put 80 into cell C1.</t>
  </si>
  <si>
    <t>Put 70 into cell C2.</t>
  </si>
  <si>
    <t>Put 60 into cell C3.</t>
  </si>
  <si>
    <t>Put 50 into cell C4.</t>
  </si>
  <si>
    <t>Put 40 into cell C5.</t>
  </si>
  <si>
    <t>Put 30 into cell C6.</t>
  </si>
  <si>
    <t>Put 20 into cell C7.</t>
  </si>
  <si>
    <t>Put 10 into cell C8.</t>
  </si>
  <si>
    <t>Put "apple" into cell D1.</t>
  </si>
  <si>
    <t>Put "Banana" into cell D2.</t>
  </si>
  <si>
    <t>Put "cherry" into cell D3.</t>
  </si>
  <si>
    <t>Put "Date" into cell D4.</t>
  </si>
  <si>
    <t>Put "elder" into cell D5.</t>
  </si>
  <si>
    <t>Put "Fig" into cell D6.</t>
  </si>
  <si>
    <t>Put "grape" into cell D7.</t>
  </si>
  <si>
    <t>Put "Hazel" into cell D8.</t>
  </si>
  <si>
    <t>Put 5 into cell E1.</t>
  </si>
  <si>
    <t>Put "5" into cell E2.</t>
  </si>
  <si>
    <t>Put formula "=TRUE" into cell E3.</t>
  </si>
  <si>
    <t>Put formula "=1/0" into cell E5.</t>
  </si>
  <si>
    <t>Put 5 into cell E6.</t>
  </si>
  <si>
    <t>Put "x" into cell E7.</t>
  </si>
  <si>
    <t>Put "X" into cell E8.</t>
  </si>
  <si>
    <t>Put 0 into cell E9.</t>
  </si>
  <si>
    <t>Put formula "=FALSE" into cell E10.</t>
  </si>
  <si>
    <t>Put 50 into cell F1.</t>
  </si>
  <si>
    <t>Put 10 into cell F2.</t>
  </si>
  <si>
    <t>Put 70 into cell F3.</t>
  </si>
  <si>
    <t>Put 20 into cell F4.</t>
  </si>
  <si>
    <t>Put 80 into cell F5.</t>
  </si>
  <si>
    <t>Put 30 into cell F6.</t>
  </si>
  <si>
    <t>Put 60 into cell F7.</t>
  </si>
  <si>
    <t>Put 40 into cell F8.</t>
  </si>
  <si>
    <t>Put 10 into cell G1.</t>
  </si>
  <si>
    <t>Put "x" into cell G2.</t>
  </si>
  <si>
    <t>Put 20 into cell G3.</t>
  </si>
  <si>
    <t>Put "y" into cell G4.</t>
  </si>
  <si>
    <t>Put 30 into cell G5.</t>
  </si>
  <si>
    <t>Put formula "=TRUE" into cell G6.</t>
  </si>
  <si>
    <t>Put 40 into cell G7.</t>
  </si>
  <si>
    <t>Put 50 into cell G9.</t>
  </si>
  <si>
    <t>Put 1 into cell A12.</t>
  </si>
  <si>
    <t>Put 2 into cell B12.</t>
  </si>
  <si>
    <t>Put 3 into cell C12.</t>
  </si>
  <si>
    <t>Put 4 into cell D12.</t>
  </si>
  <si>
    <t>Put 5 into cell E12.</t>
  </si>
  <si>
    <t>Put 6 into cell F12.</t>
  </si>
  <si>
    <t>Put 7 into cell G12.</t>
  </si>
  <si>
    <t>Put 8 into cell H12.</t>
  </si>
  <si>
    <t>Put "one" into cell A13.</t>
  </si>
  <si>
    <t>Put "two" into cell B13.</t>
  </si>
  <si>
    <t>Put "three" into cell C13.</t>
  </si>
  <si>
    <t>Put "four" into cell D13.</t>
  </si>
  <si>
    <t>Put "five" into cell E13.</t>
  </si>
  <si>
    <t>Put "six" into cell F13.</t>
  </si>
  <si>
    <t>Put "seven" into cell G13.</t>
  </si>
  <si>
    <t>Put "eight" into cell H13.</t>
  </si>
  <si>
    <t>Work on sheet Lookups.</t>
  </si>
  <si>
    <t>Put formula "=MATCH(30,Table!A1:A8,0)" into cell A1.</t>
  </si>
  <si>
    <t>Put formula "=MATCH(35,Table!A1:A8,1)" into cell A2.</t>
  </si>
  <si>
    <t>Put formula "=MATCH(35,Table!A1:A8)" into cell A3.</t>
  </si>
  <si>
    <t>Put formula "=MATCH(5,Table!A1:A8)" into cell A4.</t>
  </si>
  <si>
    <t>Put formula "=MATCH(99,Table!A1:A8)" into cell A5.</t>
  </si>
  <si>
    <t>Put formula "=MATCH(35,Table!C1:C8,-1)" into cell A6.</t>
  </si>
  <si>
    <t>Put formula "=MATCH(5,Table!C1:C8,-1)" into cell A7.</t>
  </si>
  <si>
    <t>Put formula "=MATCH(99,Table!C1:C8,-1)" into cell A8.</t>
  </si>
  <si>
    <t>Put formula "=MATCH(""BANANA"",Table!D1:D8,0)" into cell A9.</t>
  </si>
  <si>
    <t>Put formula "=MATCH(""b*"",Table!D1:D8,0)" into cell A10.</t>
  </si>
  <si>
    <t>Put formula "=MATCH(""?ig"",Table!D1:D8,0)" into cell A11.</t>
  </si>
  <si>
    <t>Put formula "=MATCH(""*e*"",Table!D1:D8,0)" into cell A12.</t>
  </si>
  <si>
    <t>Put formula "=MATCH(""cherrz"",Table!D1:D8,1)" into cell A13.</t>
  </si>
  <si>
    <t>Put formula "=MATCH(""5"",Table!E1:E10,0)" into cell A14.</t>
  </si>
  <si>
    <t>Put formula "=MATCH(5,Table!E1:E10,0)" into cell A15.</t>
  </si>
  <si>
    <t>Put formula "=MATCH(TRUE,Table!E1:E10,0)" into cell A16.</t>
  </si>
  <si>
    <t>Put formula "=MATCH(""X"",Table!E1:E10,0)" into cell A17.</t>
  </si>
  <si>
    <t>Put formula "=MATCH(0,Table!E1:E10,0)" into cell A18.</t>
  </si>
  <si>
    <t>Put formula "=MATCH(FALSE,Table!E1:E10,0)" into cell A19.</t>
  </si>
  <si>
    <t>Put formula "=MATCH(30,Table!A1:B8,0)" into cell A20.</t>
  </si>
  <si>
    <t>Put formula "=MATCH(35,Table!A1:A8,)" into cell A21.</t>
  </si>
  <si>
    <t>Put formula "=MATCH(3,Table!A12:H12,0)" into cell A22.</t>
  </si>
  <si>
    <t>Put formula "=MATCH(45,Table!F1:F8,1)" into cell A23.</t>
  </si>
  <si>
    <t>Put formula "=MATCH(25,Table!F1:F8,1)" into cell A24.</t>
  </si>
  <si>
    <t>Put formula "=MATCH(65,Table!F1:F8)" into cell A25.</t>
  </si>
  <si>
    <t>Put formula "=MATCH(15,Table!F1:F8,-1)" into cell A26.</t>
  </si>
  <si>
    <t>Put formula "=MATCH(35,Table!G1:G9,1)" into cell A27.</t>
  </si>
  <si>
    <t>Put formula "=MATCH(""xa"",Table!G1:G9,1)" into cell A28.</t>
  </si>
  <si>
    <t>Put formula "=MATCH(TRUE,Table!G1:G9,1)" into cell A29.</t>
  </si>
  <si>
    <t>Put formula "=MATCH(Table!E5,Table!A1:A8,0)" into cell A30.</t>
  </si>
  <si>
    <t>Put formula "=XMATCH(""banana"",Table!D1:D8)" into cell A31.</t>
  </si>
  <si>
    <t>Put formula "=XMATCH(35,Table!A1:A8)" into cell A32.</t>
  </si>
  <si>
    <t>Put formula "=XMATCH(35,Table!A1:A8,1)" into cell A33.</t>
  </si>
  <si>
    <t>Put formula "=XMATCH(35,Table!A1:A8,-1)" into cell A34.</t>
  </si>
  <si>
    <t>Put formula "=XMATCH(35,Table!A1:A8,1,2)" into cell A35.</t>
  </si>
  <si>
    <t>Put formula "=XMATCH(35,Table!A1:A8,-1,2)" into cell A36.</t>
  </si>
  <si>
    <t>Put formula "=XMATCH(35,Table!C1:C8,1,-2)" into cell A37.</t>
  </si>
  <si>
    <t>Put formula "=XMATCH(35,Table!C1:C8,-1,-2)" into cell A38.</t>
  </si>
  <si>
    <t>Put formula "=XMATCH(""c*"",Table!D1:D8,2)" into cell A39.</t>
  </si>
  <si>
    <t>Put formula "=XMATCH(""c*"",Table!D1:D8)" into cell A40.</t>
  </si>
  <si>
    <t>Put formula "=XMATCH(5,Table!E1:E10,0,-1)" into cell A41.</t>
  </si>
  <si>
    <t>Put formula "=XMATCH(45,Table!F1:F8,1)" into cell A42.</t>
  </si>
  <si>
    <t>Put formula "=XMATCH(45,Table!F1:F8,-1)" into cell A43.</t>
  </si>
  <si>
    <t>Put formula "=XMATCH(45,Table!F1:F8,1,2)" into cell A44.</t>
  </si>
  <si>
    <t>Put formula "=XMATCH(45,Table!F1:F8,-1,2)" into cell A45.</t>
  </si>
  <si>
    <t>Put formula "=XMATCH(30,Table!A1:A8,3)" into cell A46.</t>
  </si>
  <si>
    <t>Put formula "=XMATCH(30,Table!A1:A8,0,3)" into cell A47.</t>
  </si>
  <si>
    <t>Put formula "=XMATCH(""c*"",Table!D1:D8,2,2)" into cell A48.</t>
  </si>
  <si>
    <t>Put formula "=XMATCH(30,Table!A1:B8)" into cell A49.</t>
  </si>
  <si>
    <t>Put formula "=XMATCH(4,Table!A12:H12)" into cell A50.</t>
  </si>
  <si>
    <t>Put formula "=XMATCH(0,Table!E1:E10)" into cell A51.</t>
  </si>
  <si>
    <t>Put formula "=XMATCH(""x"",Table!E1:E10,0,-1)" into cell A52.</t>
  </si>
  <si>
    <t>Put formula "=VLOOKUP(30,Table!A1:B8,2,FALSE)" into cell A53.</t>
  </si>
  <si>
    <t>Put formula "=VLOOKUP(35,Table!A1:B8,2)" into cell A54.</t>
  </si>
  <si>
    <t>Put formula "=VLOOKUP(35,Table!A1:B8,2,TRUE)" into cell A55.</t>
  </si>
  <si>
    <t>Put formula "=VLOOKUP(35,Table!A1:B8,2,FALSE)" into cell A56.</t>
  </si>
  <si>
    <t>Put formula "=VLOOKUP(35,Table!A1:B8,2,)" into cell A57.</t>
  </si>
  <si>
    <t>Put formula "=VLOOKUP(30,Table!A1:B8,3,FALSE)" into cell A58.</t>
  </si>
  <si>
    <t>Put formula "=VLOOKUP(30,Table!A1:B8,0,FALSE)" into cell A59.</t>
  </si>
  <si>
    <t>Put formula "=VLOOKUP(""CHERRY"",Table!D1:E8,2,FALSE)" into cell A60.</t>
  </si>
  <si>
    <t>Put formula "=VLOOKUP(""gr*"",Table!D1:E8,2,FALSE)" into cell A61.</t>
  </si>
  <si>
    <t>Put formula "=VLOOKUP(40,Table!A1:E8,5,FALSE)" into cell A62.</t>
  </si>
  <si>
    <t>Put formula "=VLOOKUP(5,Table!A1:B8,2)" into cell A63.</t>
  </si>
  <si>
    <t>Put formula "=VLOOKUP(45,Table!F1:G8,2)" into cell A64.</t>
  </si>
  <si>
    <t>Put formula "=VLOOKUP(30,Table!A1:B8,2.7,FALSE)" into cell A65.</t>
  </si>
  <si>
    <t>Put formula "=VLOOKUP(""zzz"",Table!D1:E8,2)" into cell A66.</t>
  </si>
  <si>
    <t>Put formula "=HLOOKUP(3,Table!A12:H13,2,FALSE)" into cell A67.</t>
  </si>
  <si>
    <t>Put formula "=HLOOKUP(3.5,Table!A12:H13,2)" into cell A68.</t>
  </si>
  <si>
    <t>Put formula "=HLOOKUP(3,Table!A12:H13,3,FALSE)" into cell A69.</t>
  </si>
  <si>
    <t>Put formula "=HLOOKUP(0,Table!A12:H13,2)" into cell A70.</t>
  </si>
  <si>
    <t>Put formula "=LOOKUP(35,Table!A1:A8,Table!B1:B8)" into cell A71.</t>
  </si>
  <si>
    <t>Put formula "=LOOKUP(35,Table!A1:B8)" into cell A72.</t>
  </si>
  <si>
    <t>Put formula "=LOOKUP(5,Table!A1:A8,Table!B1:B8)" into cell A73.</t>
  </si>
  <si>
    <t>Put formula "=LOOKUP(3.5,Table!A12:H13)" into cell A74.</t>
  </si>
  <si>
    <t>Put formula "=LOOKUP(9.99E+307,Table!A1:A8)" into cell A75.</t>
  </si>
  <si>
    <t>Put formula "=LOOKUP(""zzzz"",Table!D1:D8)" into cell A76.</t>
  </si>
  <si>
    <t>Put formula "=LOOKUP(35,Table!A1:A8,Table!A13:H13)" into cell A77.</t>
  </si>
  <si>
    <t>Put formula "=LOOKUP(99,Table!A1:A8,Table!B1:B4)" into cell A78.</t>
  </si>
  <si>
    <t>Put formula "=LOOKUP(9.99E+307,Table!G1:G9)" into cell A79.</t>
  </si>
  <si>
    <t>Put formula "=LOOKUP(45,Table!F1:F8,Table!B1:B8)" into cell A80.</t>
  </si>
  <si>
    <t>Put formula "=XLOOKUP(30,Table!A1:A8,Table!B1:B8)" into cell A81.</t>
  </si>
  <si>
    <t>Put formula "=XLOOKUP(31,Table!A1:A8,Table!B1:B8,""none"")" into cell A82.</t>
  </si>
  <si>
    <t>Put formula "=XLOOKUP(31,Table!A1:A8,Table!B1:B8)" into cell A83.</t>
  </si>
  <si>
    <t>Put formula "=XLOOKUP(35,Table!A1:A8,Table!B1:B8,,1)" into cell A84.</t>
  </si>
  <si>
    <t>Put formula "=XLOOKUP(35,Table!A1:A8,Table!B1:B8,,-1,2)" into cell A85.</t>
  </si>
  <si>
    <t>Put formula "=XLOOKUP(30,Table!A1:A8,Table!B1:B7)" into cell A86.</t>
  </si>
  <si>
    <t>Put formula "=XLOOKUP(3,Table!A12:H12,Table!A13:H13)" into cell A87.</t>
  </si>
  <si>
    <t>Put formula "=XLOOKUP(5,Table!E1:E10,Table!A1:A10,,0,-1)" into cell A88.</t>
  </si>
  <si>
    <t>Put formula "=XLOOKUP(""b?nana"",Table!D1:D8,Table!A1:A8,,2)" into cell A89.</t>
  </si>
  <si>
    <t>Put formula "=XLOOKUP(45,Table!F1:F8,Table!A1:A8,,1)" into cell A90.</t>
  </si>
  <si>
    <t>Put formula "=XLOOKUP(31,Table!A1:A8,Table!B1:B8,1/0)" into cell A91.</t>
  </si>
  <si>
    <t>Put formula "=INDEX(Table!A1:B8,3,2)" into cell A92.</t>
  </si>
  <si>
    <t>Put formula "=INDEX(Table!A1:A8,4)" into cell A93.</t>
  </si>
  <si>
    <t>Put formula "=INDEX(Table!A12:H12,3)" into cell A94.</t>
  </si>
  <si>
    <t>Put formula "=INDEX(Table!A1:B8,9,1)" into cell A95.</t>
  </si>
  <si>
    <t>Put formula "=INDEX(Table!A1:B8,1,3)" into cell A96.</t>
  </si>
  <si>
    <t>Put formula "=INDEX(Table!A1:B8,-1,1)" into cell A97.</t>
  </si>
  <si>
    <t>Put formula "=INDEX(Table!A1:B8,2.9,1.2)" into cell A98.</t>
  </si>
  <si>
    <t>Put formula "=SUM(INDEX(Table!A1:C8,0,1))" into cell A99.</t>
  </si>
  <si>
    <t>Put formula "=SUM(INDEX(Table!A1:C8,2,0))" into cell A100.</t>
  </si>
  <si>
    <t>Put formula "=INDEX(Table!A1:A8,MATCH(40,Table!A1:A8,0))" into cell A101.</t>
  </si>
  <si>
    <t>Put formula "=INDEX(5,1)" into cell A102.</t>
  </si>
  <si>
    <t>Put formula "=INDEX(Table!A1:B8,1,1,1)" into cell A103.</t>
  </si>
  <si>
    <t>Put formula "=INDEX(Table!A1:B8,1,1,2)" into cell A104.</t>
  </si>
  <si>
    <t>Put formula "=INDEX(Table!A1:B8,""x"")" into cell A105.</t>
  </si>
  <si>
    <t>Put formula "=INDEX(Table!A1:B8,2,0)" into cell A106.</t>
  </si>
  <si>
    <t>Put formula "=INDEX(Table!A1:A8,0)" into cell A107.</t>
  </si>
  <si>
    <t>Put formula "=IFERROR(VLOOKUP(31,Table!A1:B8,2,FALSE),0)" into cell A108.</t>
  </si>
  <si>
    <t>Put formula "=IFERROR(VLOOKUP(30,Table!A1:B8,2,FALSE),0)" into cell A109.</t>
  </si>
  <si>
    <t>Put formula "=IFNA(1/0,2)" into cell A110.</t>
  </si>
  <si>
    <t>Put formula "=IFERROR(1/0,2)" into cell A111.</t>
  </si>
  <si>
    <t>Put formula "=IFNA(MATCH(31,Table!A1:A8,0),-1)" into cell A112.</t>
  </si>
  <si>
    <t>Put formula "=ISNA(MATCH(31,Table!A1:A8,0))" into cell A113.</t>
  </si>
  <si>
    <t>Put formula "=ISERROR(Table!A1)" into cell A114.</t>
  </si>
  <si>
    <t>Put formula "=ISERROR(Table!E5)" into cell A115.</t>
  </si>
  <si>
    <t>Put formula "=ISNA(1/0)" into cell A116.</t>
  </si>
  <si>
    <t>Put formula "=ISERROR(Table!E4)" into cell A117.</t>
  </si>
  <si>
    <t>Put formula "=IF(ISNA(MATCH(31,Table!A1:A8,0)),""missing"",MATCH(31,Table!A1:A8,0))" into cell A118.</t>
  </si>
  <si>
    <t>Put formula "=IFERROR(1/0,)" into cell A119.</t>
  </si>
  <si>
    <t>Put formula "=IFNA(Table!A1,1)" into cell A120.</t>
  </si>
  <si>
    <t>Work on sheet Criteria.</t>
  </si>
  <si>
    <t>Put 20 into cell A4.</t>
  </si>
  <si>
    <t>Put "20" into cell A5.</t>
  </si>
  <si>
    <t>Put "x" into cell A6.</t>
  </si>
  <si>
    <t>Put "X" into cell A7.</t>
  </si>
  <si>
    <t>Put formula "=TRUE" into cell A8.</t>
  </si>
  <si>
    <t>Put 0 into cell A10.</t>
  </si>
  <si>
    <t>Put 0 into cell A11.</t>
  </si>
  <si>
    <t>Put 5 into cell A12.</t>
  </si>
  <si>
    <t>Put 1 into cell B1.</t>
  </si>
  <si>
    <t>Put 2 into cell B2.</t>
  </si>
  <si>
    <t>Put 3 into cell B3.</t>
  </si>
  <si>
    <t>Put 4 into cell B4.</t>
  </si>
  <si>
    <t>Put 5 into cell B5.</t>
  </si>
  <si>
    <t>Put 6 into cell B6.</t>
  </si>
  <si>
    <t>Put 7 into cell B7.</t>
  </si>
  <si>
    <t>Put 8 into cell B8.</t>
  </si>
  <si>
    <t>Put 9 into cell B9.</t>
  </si>
  <si>
    <t>Put 10 into cell B10.</t>
  </si>
  <si>
    <t>Put 11 into cell B11.</t>
  </si>
  <si>
    <t>Put 12 into cell B12.</t>
  </si>
  <si>
    <t>Put 1 into cell C1.</t>
  </si>
  <si>
    <t>Put formula "=1/0" into cell C2.</t>
  </si>
  <si>
    <t>Put 3 into cell C3.</t>
  </si>
  <si>
    <t>Put 4 into cell C4.</t>
  </si>
  <si>
    <t>Put "a" into cell D1.</t>
  </si>
  <si>
    <t>Put "b" into cell D2.</t>
  </si>
  <si>
    <t>Put "a" into cell D3.</t>
  </si>
  <si>
    <t>Put "b" into cell D4.</t>
  </si>
  <si>
    <t>Put formula "=0.1+0.2" into cell E1.</t>
  </si>
  <si>
    <t>Put "É" into cell F1.</t>
  </si>
  <si>
    <t>Put "é" into cell F2.</t>
  </si>
  <si>
    <t>Put "e" into cell F3.</t>
  </si>
  <si>
    <t>Put formula "=COUNTIF(A1:A12,20)" into cell H1.</t>
  </si>
  <si>
    <t>Put formula "=COUNTIF(A1:A12,""20"")" into cell H2.</t>
  </si>
  <si>
    <t>Put formula "=COUNTIF(A1:A12,""=20"")" into cell H3.</t>
  </si>
  <si>
    <t>Put formula "=COUNTIF(A1:A12,""&lt;&gt;20"")" into cell H4.</t>
  </si>
  <si>
    <t>Put formula "=COUNTIF(A1:A12,""&gt;15"")" into cell H5.</t>
  </si>
  <si>
    <t>Put formula "=COUNTIF(A1:A12,""x"")" into cell H6.</t>
  </si>
  <si>
    <t>Put formula "=COUNTIF(A1:A12,""x*"")" into cell H7.</t>
  </si>
  <si>
    <t>Put formula "=COUNTIF(A1:A12,""?"")" into cell H8.</t>
  </si>
  <si>
    <t>Put formula "=COUNTIF(A1:A12,""*"")" into cell H9.</t>
  </si>
  <si>
    <t>Put formula "=COUNTIF(A1:A12,"""")" into cell H10.</t>
  </si>
  <si>
    <t>Put formula "=COUNTIF(A1:A12,""&lt;&gt;"")" into cell H11.</t>
  </si>
  <si>
    <t>Put formula "=COUNTIF(A1:A12,TRUE)" into cell H12.</t>
  </si>
  <si>
    <t>Put formula "=COUNTIF(A1:A12,""TRUE"")" into cell H13.</t>
  </si>
  <si>
    <t>Put formula "=COUNTIF(A1:A12,0)" into cell H14.</t>
  </si>
  <si>
    <t>Put formula "=COUNTIF(A1:A12,A4)" into cell H15.</t>
  </si>
  <si>
    <t>Put formula "=COUNTIF(A1:A12,A9)" into cell H16.</t>
  </si>
  <si>
    <t>Put formula "=SUMIF(A1:A12,20,B1:B12)" into cell H17.</t>
  </si>
  <si>
    <t>Put formula "=SUMIF(A1:A12,""&gt;15"",B1:B12)" into cell H18.</t>
  </si>
  <si>
    <t>Put formula "=SUMIF(A1:A12,""x*"",B1:B12)" into cell H19.</t>
  </si>
  <si>
    <t>Put formula "=SUMIF(A1:A12,""&lt;&gt;20"",B1:B12)" into cell H20.</t>
  </si>
  <si>
    <t>Put formula "=SUMIF(A1:A12,"""",B1:B12)" into cell H21.</t>
  </si>
  <si>
    <t>Put formula "=SUMIF(A1:A12,20)" into cell H22.</t>
  </si>
  <si>
    <t>Put formula "=SUMIF(D1:D4,""a"",C1:C4)" into cell H23.</t>
  </si>
  <si>
    <t>Put formula "=SUMIF(D1:D4,""b"",C1:C4)" into cell H24.</t>
  </si>
  <si>
    <t>Put formula "=COUNTIF(C1:C4,1)" into cell H25.</t>
  </si>
  <si>
    <t>Put formula "=COUNTIF(C1:C4,""#DIV/0!"")" into cell H26.</t>
  </si>
  <si>
    <t>Put formula "=SUMIF(A1:A12,20,B1)" into cell H27.</t>
  </si>
  <si>
    <t>Put formula "=SUMIF(A1:A3,""&gt;15"",B1:B12)" into cell H28.</t>
  </si>
  <si>
    <t>Put formula "=F1=F2" into cell H29.</t>
  </si>
  <si>
    <t>Put formula "=0.1+0.2=0.3" into cell H30.</t>
  </si>
  <si>
    <t>Put formula "=MATCH(0.3,E1,0)" into cell H31.</t>
  </si>
  <si>
    <t>Put formula "=COUNTIF(E1,0.3)" into cell H32.</t>
  </si>
  <si>
    <t>Put formula "=VLOOKUP(0.3,E1,1,FALSE)" into cell H33.</t>
  </si>
  <si>
    <t>Put formula "=COUNTIF(F1:F3,F2)" into cell H34.</t>
  </si>
  <si>
    <t>Put formula "=MATCH(F2,F1:F3,0)" into cell H35.</t>
  </si>
  <si>
    <t>Put formula "=SUMIF(F1:F3,F1,B1:B3)" into cell H36.</t>
  </si>
  <si>
    <t>Put formula "=COUNTIF(A1:A12,""&lt;&gt;x"")" into cell H37.</t>
  </si>
  <si>
    <t>Put formula "=COUNTIF(A1:A12,""&lt;15"")" into cell H38.</t>
  </si>
  <si>
    <t>r1</t>
  </si>
  <si>
    <t>apple</t>
  </si>
  <si>
    <t>r2</t>
  </si>
  <si>
    <t>Banana</t>
  </si>
  <si>
    <t>5</t>
  </si>
  <si>
    <t>x</t>
  </si>
  <si>
    <t>r3</t>
  </si>
  <si>
    <t>cherry</t>
  </si>
  <si>
    <t>r4</t>
  </si>
  <si>
    <t>Date</t>
  </si>
  <si>
    <t>y</t>
  </si>
  <si>
    <t>r5</t>
  </si>
  <si>
    <t>elder</t>
  </si>
  <si>
    <t>r6</t>
  </si>
  <si>
    <t>Fig</t>
  </si>
  <si>
    <t>r7</t>
  </si>
  <si>
    <t>grape</t>
  </si>
  <si>
    <t>r8</t>
  </si>
  <si>
    <t>Hazel</t>
  </si>
  <si>
    <t>X</t>
  </si>
  <si>
    <t>one</t>
  </si>
  <si>
    <t>two</t>
  </si>
  <si>
    <t>three</t>
  </si>
  <si>
    <t>four</t>
  </si>
  <si>
    <t>five</t>
  </si>
  <si>
    <t>six</t>
  </si>
  <si>
    <t>seven</t>
  </si>
  <si>
    <t>eight</t>
  </si>
  <si>
    <t>a</t>
  </si>
  <si>
    <t>É</t>
  </si>
  <si>
    <t>b</t>
  </si>
  <si>
    <t>é</t>
  </si>
  <si>
    <t>e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</si>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</sst>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1">
    <v>0</v>
    <v>8</v>
    <v>7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79"/>
  <sheetViews>
    <sheetView showGridLines="0" tabSelected="1" topLeftCell="B1" workbookViewId="0">
      <selection activeCell="B25" sqref="B25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9" spans="2:3" x14ac:dyDescent="0.35">
      <c r="B9" s="1" t="s">
        <v>8</v>
      </c>
      <c r="C9" s="3" t="s">
        <v>1</v>
      </c>
    </row>
    <row r="10" spans="2:3" x14ac:dyDescent="0.35">
      <c r="B10" s="1" t="s">
        <v>9</v>
      </c>
      <c r="C10" s="3" t="s">
        <v>1</v>
      </c>
    </row>
    <row r="11" spans="2:3" x14ac:dyDescent="0.35">
      <c r="B11" s="1" t="s">
        <v>10</v>
      </c>
      <c r="C11" s="3" t="s">
        <v>1</v>
      </c>
    </row>
    <row r="12" spans="2:3" x14ac:dyDescent="0.35">
      <c r="B12" s="1" t="s">
        <v>11</v>
      </c>
      <c r="C12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2" spans="2:3" x14ac:dyDescent="0.35">
      <c r="B42" s="1" t="s">
        <v>41</v>
      </c>
      <c r="C42" s="3" t="s">
        <v>1</v>
      </c>
    </row>
    <row r="43" spans="2:3" x14ac:dyDescent="0.35">
      <c r="B43" s="1" t="s">
        <v>42</v>
      </c>
      <c r="C43" s="3" t="s">
        <v>1</v>
      </c>
    </row>
    <row r="44" spans="2:3" x14ac:dyDescent="0.35">
      <c r="B44" s="1" t="s">
        <v>43</v>
      </c>
      <c r="C44" s="3" t="s">
        <v>1</v>
      </c>
    </row>
    <row r="45" spans="2:3" x14ac:dyDescent="0.35">
      <c r="B45" s="1" t="s">
        <v>44</v>
      </c>
      <c r="C45" s="3" t="s">
        <v>1</v>
      </c>
    </row>
    <row r="46" spans="2:3" x14ac:dyDescent="0.35">
      <c r="B46" s="1" t="s">
        <v>45</v>
      </c>
      <c r="C46" s="3" t="s">
        <v>1</v>
      </c>
    </row>
    <row r="47" spans="2:3" x14ac:dyDescent="0.35">
      <c r="B47" s="1" t="s">
        <v>46</v>
      </c>
      <c r="C47" s="3" t="s">
        <v>1</v>
      </c>
    </row>
    <row r="48" spans="2:3" x14ac:dyDescent="0.35">
      <c r="B48" s="1" t="s">
        <v>47</v>
      </c>
      <c r="C48" s="3" t="s">
        <v>1</v>
      </c>
    </row>
    <row r="49" spans="2:3" x14ac:dyDescent="0.35">
      <c r="B49" s="1" t="s">
        <v>48</v>
      </c>
      <c r="C49" s="3" t="s">
        <v>1</v>
      </c>
    </row>
    <row r="50" spans="2:3" x14ac:dyDescent="0.35">
      <c r="B50" s="1" t="s">
        <v>49</v>
      </c>
      <c r="C50" s="3" t="s">
        <v>1</v>
      </c>
    </row>
    <row r="51" spans="2:3" x14ac:dyDescent="0.35">
      <c r="B51" s="1" t="s">
        <v>50</v>
      </c>
      <c r="C51" s="3" t="s">
        <v>1</v>
      </c>
    </row>
    <row r="52" spans="2:3" x14ac:dyDescent="0.35">
      <c r="B52" s="1" t="s">
        <v>51</v>
      </c>
      <c r="C52" s="3" t="s">
        <v>1</v>
      </c>
    </row>
    <row r="53" spans="2:3" x14ac:dyDescent="0.35">
      <c r="B53" s="1" t="s">
        <v>52</v>
      </c>
      <c r="C53" s="3" t="s">
        <v>1</v>
      </c>
    </row>
    <row r="54" spans="2:3" x14ac:dyDescent="0.35">
      <c r="B54" s="1" t="s">
        <v>53</v>
      </c>
      <c r="C54" s="3" t="s">
        <v>1</v>
      </c>
    </row>
    <row r="55" spans="2:3" x14ac:dyDescent="0.35">
      <c r="B55" s="1" t="s">
        <v>54</v>
      </c>
      <c r="C55" s="3" t="s">
        <v>1</v>
      </c>
    </row>
    <row r="56" spans="2:3" x14ac:dyDescent="0.35">
      <c r="B56" s="1" t="s">
        <v>55</v>
      </c>
      <c r="C56" s="3" t="s">
        <v>1</v>
      </c>
    </row>
    <row r="57" spans="2:3" x14ac:dyDescent="0.35">
      <c r="B57" s="1" t="s">
        <v>56</v>
      </c>
      <c r="C57" s="3" t="s">
        <v>1</v>
      </c>
    </row>
    <row r="58" spans="2:3" x14ac:dyDescent="0.35">
      <c r="B58" s="1" t="s">
        <v>57</v>
      </c>
      <c r="C58" s="3" t="s">
        <v>1</v>
      </c>
    </row>
    <row r="59" spans="2:3" x14ac:dyDescent="0.35">
      <c r="B59" s="1" t="s">
        <v>58</v>
      </c>
      <c r="C59" s="3" t="s">
        <v>1</v>
      </c>
    </row>
    <row r="60" spans="2:3" x14ac:dyDescent="0.35">
      <c r="B60" s="1" t="s">
        <v>59</v>
      </c>
      <c r="C60" s="3" t="s">
        <v>1</v>
      </c>
    </row>
    <row r="61" spans="2:3" x14ac:dyDescent="0.35">
      <c r="B61" s="1" t="s">
        <v>60</v>
      </c>
      <c r="C61" s="3" t="s">
        <v>1</v>
      </c>
    </row>
    <row r="62" spans="2:3" x14ac:dyDescent="0.35">
      <c r="B62" s="1" t="s">
        <v>61</v>
      </c>
      <c r="C62" s="3" t="s">
        <v>1</v>
      </c>
    </row>
    <row r="63" spans="2:3" x14ac:dyDescent="0.35">
      <c r="B63" s="1" t="s">
        <v>62</v>
      </c>
      <c r="C63" s="3" t="s">
        <v>1</v>
      </c>
    </row>
    <row r="64" spans="2:3" x14ac:dyDescent="0.35">
      <c r="B64" s="1" t="s">
        <v>63</v>
      </c>
      <c r="C64" s="3" t="s">
        <v>1</v>
      </c>
    </row>
    <row r="65" spans="2:3" x14ac:dyDescent="0.35">
      <c r="B65" s="1" t="s">
        <v>64</v>
      </c>
      <c r="C65" s="3" t="s">
        <v>1</v>
      </c>
    </row>
    <row r="66" spans="2:3" x14ac:dyDescent="0.35">
      <c r="B66" s="1" t="s">
        <v>65</v>
      </c>
      <c r="C66" s="3" t="s">
        <v>1</v>
      </c>
    </row>
    <row r="67" spans="2:3" x14ac:dyDescent="0.35">
      <c r="B67" s="1" t="s">
        <v>66</v>
      </c>
      <c r="C67" s="3" t="s">
        <v>1</v>
      </c>
    </row>
    <row r="68" spans="2:3" x14ac:dyDescent="0.35">
      <c r="B68" s="1" t="s">
        <v>67</v>
      </c>
      <c r="C68" s="3" t="s">
        <v>1</v>
      </c>
    </row>
    <row r="69" spans="2:3" x14ac:dyDescent="0.35">
      <c r="B69" s="1" t="s">
        <v>68</v>
      </c>
      <c r="C69" s="3" t="s">
        <v>1</v>
      </c>
    </row>
    <row r="70" spans="2:3" x14ac:dyDescent="0.35">
      <c r="B70" s="1" t="s">
        <v>69</v>
      </c>
      <c r="C70" s="3" t="s">
        <v>1</v>
      </c>
    </row>
    <row r="71" spans="2:3" x14ac:dyDescent="0.35">
      <c r="B71" s="1" t="s">
        <v>70</v>
      </c>
      <c r="C71" s="3" t="s">
        <v>1</v>
      </c>
    </row>
    <row r="72" spans="2:3" x14ac:dyDescent="0.35">
      <c r="B72" s="1" t="s">
        <v>71</v>
      </c>
      <c r="C72" s="3" t="s">
        <v>1</v>
      </c>
    </row>
    <row r="73" spans="2:3" x14ac:dyDescent="0.35">
      <c r="B73" s="1" t="s">
        <v>72</v>
      </c>
      <c r="C73" s="3" t="s">
        <v>1</v>
      </c>
    </row>
    <row r="74" spans="2:3" x14ac:dyDescent="0.35">
      <c r="B74" s="1" t="s">
        <v>73</v>
      </c>
      <c r="C74" s="3" t="s">
        <v>1</v>
      </c>
    </row>
    <row r="75" spans="2:3" x14ac:dyDescent="0.35">
      <c r="B75" s="1" t="s">
        <v>74</v>
      </c>
      <c r="C75" s="3" t="s">
        <v>1</v>
      </c>
    </row>
    <row r="76" spans="2:3" x14ac:dyDescent="0.35">
      <c r="B76" s="1" t="s">
        <v>75</v>
      </c>
      <c r="C76" s="3" t="s">
        <v>1</v>
      </c>
    </row>
    <row r="77" spans="2:3" x14ac:dyDescent="0.35">
      <c r="B77" s="1" t="s">
        <v>76</v>
      </c>
      <c r="C77" s="3" t="s">
        <v>1</v>
      </c>
    </row>
    <row r="78" spans="2:3" x14ac:dyDescent="0.35">
      <c r="B78" s="1" t="s">
        <v>77</v>
      </c>
      <c r="C78" s="3" t="s">
        <v>1</v>
      </c>
    </row>
    <row r="79" spans="2:3" x14ac:dyDescent="0.35">
      <c r="B79" s="1" t="s">
        <v>78</v>
      </c>
      <c r="C79" s="3" t="s">
        <v>1</v>
      </c>
    </row>
    <row r="80" spans="2:3" x14ac:dyDescent="0.35">
      <c r="B80" s="1" t="s">
        <v>79</v>
      </c>
      <c r="C80" s="3" t="s">
        <v>1</v>
      </c>
    </row>
    <row r="81" spans="2:3" x14ac:dyDescent="0.35">
      <c r="B81" s="1" t="s">
        <v>80</v>
      </c>
      <c r="C81" s="3" t="s">
        <v>1</v>
      </c>
    </row>
    <row r="82" spans="2:3" x14ac:dyDescent="0.35">
      <c r="B82" s="1" t="s">
        <v>81</v>
      </c>
      <c r="C82" s="3" t="s">
        <v>1</v>
      </c>
    </row>
    <row r="84" spans="2:3" x14ac:dyDescent="0.35">
      <c r="B84" s="1" t="s">
        <v>82</v>
      </c>
      <c r="C84" s="3" t="s">
        <v>1</v>
      </c>
    </row>
    <row r="85" spans="2:3" x14ac:dyDescent="0.35">
      <c r="B85" s="1" t="s">
        <v>83</v>
      </c>
      <c r="C85" s="3" t="s">
        <v>1</v>
      </c>
    </row>
    <row r="86" spans="2:3" x14ac:dyDescent="0.35">
      <c r="B86" s="1" t="s">
        <v>84</v>
      </c>
      <c r="C86" s="3" t="s">
        <v>1</v>
      </c>
    </row>
    <row r="87" spans="2:3" x14ac:dyDescent="0.35">
      <c r="B87" s="1" t="s">
        <v>85</v>
      </c>
      <c r="C87" s="3" t="s">
        <v>1</v>
      </c>
    </row>
    <row r="88" spans="2:3" x14ac:dyDescent="0.35">
      <c r="B88" s="1" t="s">
        <v>86</v>
      </c>
      <c r="C88" s="3" t="s">
        <v>1</v>
      </c>
    </row>
    <row r="89" spans="2:3" x14ac:dyDescent="0.35">
      <c r="B89" s="1" t="s">
        <v>87</v>
      </c>
      <c r="C89" s="3" t="s">
        <v>1</v>
      </c>
    </row>
    <row r="90" spans="2:3" x14ac:dyDescent="0.35">
      <c r="B90" s="1" t="s">
        <v>88</v>
      </c>
      <c r="C90" s="3" t="s">
        <v>1</v>
      </c>
    </row>
    <row r="91" spans="2:3" x14ac:dyDescent="0.35">
      <c r="B91" s="1" t="s">
        <v>89</v>
      </c>
      <c r="C91" s="3" t="s">
        <v>1</v>
      </c>
    </row>
    <row r="92" spans="2:3" x14ac:dyDescent="0.35">
      <c r="B92" s="1" t="s">
        <v>90</v>
      </c>
      <c r="C92" s="3" t="s">
        <v>1</v>
      </c>
    </row>
    <row r="93" spans="2:3" x14ac:dyDescent="0.35">
      <c r="B93" s="1" t="s">
        <v>91</v>
      </c>
      <c r="C93" s="3" t="s">
        <v>1</v>
      </c>
    </row>
    <row r="94" spans="2:3" x14ac:dyDescent="0.35">
      <c r="B94" s="1" t="s">
        <v>92</v>
      </c>
      <c r="C94" s="3" t="s">
        <v>1</v>
      </c>
    </row>
    <row r="95" spans="2:3" x14ac:dyDescent="0.35">
      <c r="B95" s="1" t="s">
        <v>93</v>
      </c>
      <c r="C95" s="3" t="s">
        <v>1</v>
      </c>
    </row>
    <row r="96" spans="2:3" x14ac:dyDescent="0.35">
      <c r="B96" s="1" t="s">
        <v>94</v>
      </c>
      <c r="C96" s="3" t="s">
        <v>1</v>
      </c>
    </row>
    <row r="97" spans="2:3" x14ac:dyDescent="0.35">
      <c r="B97" s="1" t="s">
        <v>95</v>
      </c>
      <c r="C97" s="3" t="s">
        <v>1</v>
      </c>
    </row>
    <row r="98" spans="2:3" x14ac:dyDescent="0.35">
      <c r="B98" s="1" t="s">
        <v>96</v>
      </c>
      <c r="C98" s="3" t="s">
        <v>1</v>
      </c>
    </row>
    <row r="99" spans="2:3" x14ac:dyDescent="0.35">
      <c r="B99" s="1" t="s">
        <v>97</v>
      </c>
      <c r="C99" s="3" t="s">
        <v>1</v>
      </c>
    </row>
    <row r="100" spans="2:3" x14ac:dyDescent="0.35">
      <c r="B100" s="1" t="s">
        <v>98</v>
      </c>
      <c r="C100" s="3" t="s">
        <v>1</v>
      </c>
    </row>
    <row r="101" spans="2:3" x14ac:dyDescent="0.35">
      <c r="B101" s="1" t="s">
        <v>99</v>
      </c>
      <c r="C101" s="3" t="s">
        <v>1</v>
      </c>
    </row>
    <row r="102" spans="2:3" x14ac:dyDescent="0.35">
      <c r="B102" s="1" t="s">
        <v>100</v>
      </c>
      <c r="C102" s="3" t="s">
        <v>1</v>
      </c>
    </row>
    <row r="103" spans="2:3" x14ac:dyDescent="0.35">
      <c r="B103" s="1" t="s">
        <v>101</v>
      </c>
      <c r="C103" s="3" t="s">
        <v>1</v>
      </c>
    </row>
    <row r="104" spans="2:3" x14ac:dyDescent="0.35">
      <c r="B104" s="1" t="s">
        <v>102</v>
      </c>
      <c r="C104" s="3" t="s">
        <v>1</v>
      </c>
    </row>
    <row r="105" spans="2:3" x14ac:dyDescent="0.35">
      <c r="B105" s="1" t="s">
        <v>103</v>
      </c>
      <c r="C105" s="3" t="s">
        <v>1</v>
      </c>
    </row>
    <row r="106" spans="2:3" x14ac:dyDescent="0.35">
      <c r="B106" s="1" t="s">
        <v>104</v>
      </c>
      <c r="C106" s="3" t="s">
        <v>1</v>
      </c>
    </row>
    <row r="107" spans="2:3" x14ac:dyDescent="0.35">
      <c r="B107" s="1" t="s">
        <v>105</v>
      </c>
      <c r="C107" s="3" t="s">
        <v>1</v>
      </c>
    </row>
    <row r="108" spans="2:3" x14ac:dyDescent="0.35">
      <c r="B108" s="1" t="s">
        <v>106</v>
      </c>
      <c r="C108" s="3" t="s">
        <v>1</v>
      </c>
    </row>
    <row r="109" spans="2:3" x14ac:dyDescent="0.35">
      <c r="B109" s="1" t="s">
        <v>107</v>
      </c>
      <c r="C109" s="3" t="s">
        <v>1</v>
      </c>
    </row>
    <row r="110" spans="2:3" x14ac:dyDescent="0.35">
      <c r="B110" s="1" t="s">
        <v>108</v>
      </c>
      <c r="C110" s="3" t="s">
        <v>1</v>
      </c>
    </row>
    <row r="111" spans="2:3" x14ac:dyDescent="0.35">
      <c r="B111" s="1" t="s">
        <v>109</v>
      </c>
      <c r="C111" s="3" t="s">
        <v>1</v>
      </c>
    </row>
    <row r="112" spans="2:3" x14ac:dyDescent="0.35">
      <c r="B112" s="1" t="s">
        <v>110</v>
      </c>
      <c r="C112" s="3" t="s">
        <v>1</v>
      </c>
    </row>
    <row r="113" spans="2:3" x14ac:dyDescent="0.35">
      <c r="B113" s="1" t="s">
        <v>111</v>
      </c>
      <c r="C113" s="3" t="s">
        <v>1</v>
      </c>
    </row>
    <row r="114" spans="2:3" x14ac:dyDescent="0.35">
      <c r="B114" s="1" t="s">
        <v>112</v>
      </c>
      <c r="C114" s="3" t="s">
        <v>1</v>
      </c>
    </row>
    <row r="115" spans="2:3" x14ac:dyDescent="0.35">
      <c r="B115" s="1" t="s">
        <v>113</v>
      </c>
      <c r="C115" s="3" t="s">
        <v>1</v>
      </c>
    </row>
    <row r="116" spans="2:3" x14ac:dyDescent="0.35">
      <c r="B116" s="1" t="s">
        <v>114</v>
      </c>
      <c r="C116" s="3" t="s">
        <v>1</v>
      </c>
    </row>
    <row r="117" spans="2:3" x14ac:dyDescent="0.35">
      <c r="B117" s="1" t="s">
        <v>115</v>
      </c>
      <c r="C117" s="3" t="s">
        <v>1</v>
      </c>
    </row>
    <row r="118" spans="2:3" x14ac:dyDescent="0.35">
      <c r="B118" s="1" t="s">
        <v>116</v>
      </c>
      <c r="C118" s="3" t="s">
        <v>1</v>
      </c>
    </row>
    <row r="119" spans="2:3" x14ac:dyDescent="0.35">
      <c r="B119" s="1" t="s">
        <v>117</v>
      </c>
      <c r="C119" s="3" t="s">
        <v>1</v>
      </c>
    </row>
    <row r="120" spans="2:3" x14ac:dyDescent="0.35">
      <c r="B120" s="1" t="s">
        <v>118</v>
      </c>
      <c r="C120" s="3" t="s">
        <v>1</v>
      </c>
    </row>
    <row r="121" spans="2:3" x14ac:dyDescent="0.35">
      <c r="B121" s="1" t="s">
        <v>119</v>
      </c>
      <c r="C121" s="3" t="s">
        <v>1</v>
      </c>
    </row>
    <row r="122" spans="2:3" x14ac:dyDescent="0.35">
      <c r="B122" s="1" t="s">
        <v>120</v>
      </c>
      <c r="C122" s="3" t="s">
        <v>1</v>
      </c>
    </row>
    <row r="123" spans="2:3" x14ac:dyDescent="0.35">
      <c r="B123" s="1" t="s">
        <v>121</v>
      </c>
      <c r="C123" s="3" t="s">
        <v>1</v>
      </c>
    </row>
    <row r="124" spans="2:3" x14ac:dyDescent="0.35">
      <c r="B124" s="1" t="s">
        <v>122</v>
      </c>
      <c r="C124" s="3" t="s">
        <v>1</v>
      </c>
    </row>
    <row r="125" spans="2:3" x14ac:dyDescent="0.35">
      <c r="B125" s="1" t="s">
        <v>123</v>
      </c>
      <c r="C125" s="3" t="s">
        <v>1</v>
      </c>
    </row>
    <row r="126" spans="2:3" x14ac:dyDescent="0.35">
      <c r="B126" s="1" t="s">
        <v>124</v>
      </c>
      <c r="C126" s="3" t="s">
        <v>1</v>
      </c>
    </row>
    <row r="127" spans="2:3" x14ac:dyDescent="0.35">
      <c r="B127" s="1" t="s">
        <v>125</v>
      </c>
      <c r="C127" s="3" t="s">
        <v>1</v>
      </c>
    </row>
    <row r="128" spans="2:3" x14ac:dyDescent="0.35">
      <c r="B128" s="1" t="s">
        <v>126</v>
      </c>
      <c r="C128" s="3" t="s">
        <v>1</v>
      </c>
    </row>
    <row r="129" spans="2:3" x14ac:dyDescent="0.35">
      <c r="B129" s="1" t="s">
        <v>127</v>
      </c>
      <c r="C129" s="3" t="s">
        <v>1</v>
      </c>
    </row>
    <row r="130" spans="2:3" x14ac:dyDescent="0.35">
      <c r="B130" s="1" t="s">
        <v>128</v>
      </c>
      <c r="C130" s="3" t="s">
        <v>1</v>
      </c>
    </row>
    <row r="131" spans="2:3" x14ac:dyDescent="0.35">
      <c r="B131" s="1" t="s">
        <v>129</v>
      </c>
      <c r="C131" s="3" t="s">
        <v>1</v>
      </c>
    </row>
    <row r="132" spans="2:3" x14ac:dyDescent="0.35">
      <c r="B132" s="1" t="s">
        <v>130</v>
      </c>
      <c r="C132" s="3" t="s">
        <v>1</v>
      </c>
    </row>
    <row r="133" spans="2:3" x14ac:dyDescent="0.35">
      <c r="B133" s="1" t="s">
        <v>131</v>
      </c>
      <c r="C133" s="3" t="s">
        <v>1</v>
      </c>
    </row>
    <row r="134" spans="2:3" x14ac:dyDescent="0.35">
      <c r="B134" s="1" t="s">
        <v>132</v>
      </c>
      <c r="C134" s="3" t="s">
        <v>1</v>
      </c>
    </row>
    <row r="135" spans="2:3" x14ac:dyDescent="0.35">
      <c r="B135" s="1" t="s">
        <v>133</v>
      </c>
      <c r="C135" s="3" t="s">
        <v>1</v>
      </c>
    </row>
    <row r="136" spans="2:3" x14ac:dyDescent="0.35">
      <c r="B136" s="1" t="s">
        <v>134</v>
      </c>
      <c r="C136" s="3" t="s">
        <v>1</v>
      </c>
    </row>
    <row r="137" spans="2:3" x14ac:dyDescent="0.35">
      <c r="B137" s="1" t="s">
        <v>135</v>
      </c>
      <c r="C137" s="3" t="s">
        <v>1</v>
      </c>
    </row>
    <row r="138" spans="2:3" x14ac:dyDescent="0.35">
      <c r="B138" s="1" t="s">
        <v>136</v>
      </c>
      <c r="C138" s="3" t="s">
        <v>1</v>
      </c>
    </row>
    <row r="139" spans="2:3" x14ac:dyDescent="0.35">
      <c r="B139" s="1" t="s">
        <v>137</v>
      </c>
      <c r="C139" s="3" t="s">
        <v>1</v>
      </c>
    </row>
    <row r="140" spans="2:3" x14ac:dyDescent="0.35">
      <c r="B140" s="1" t="s">
        <v>138</v>
      </c>
      <c r="C140" s="3" t="s">
        <v>1</v>
      </c>
    </row>
    <row r="141" spans="2:3" x14ac:dyDescent="0.35">
      <c r="B141" s="1" t="s">
        <v>139</v>
      </c>
      <c r="C141" s="3" t="s">
        <v>1</v>
      </c>
    </row>
    <row r="142" spans="2:3" x14ac:dyDescent="0.35">
      <c r="B142" s="1" t="s">
        <v>140</v>
      </c>
      <c r="C142" s="3" t="s">
        <v>1</v>
      </c>
    </row>
    <row r="143" spans="2:3" x14ac:dyDescent="0.35">
      <c r="B143" s="1" t="s">
        <v>141</v>
      </c>
      <c r="C143" s="3" t="s">
        <v>1</v>
      </c>
    </row>
    <row r="144" spans="2:3" x14ac:dyDescent="0.35">
      <c r="B144" s="1" t="s">
        <v>142</v>
      </c>
      <c r="C144" s="3" t="s">
        <v>1</v>
      </c>
    </row>
    <row r="145" spans="2:3" x14ac:dyDescent="0.35">
      <c r="B145" s="1" t="s">
        <v>143</v>
      </c>
      <c r="C145" s="3" t="s">
        <v>1</v>
      </c>
    </row>
    <row r="146" spans="2:3" x14ac:dyDescent="0.35">
      <c r="B146" s="1" t="s">
        <v>144</v>
      </c>
      <c r="C146" s="3" t="s">
        <v>1</v>
      </c>
    </row>
    <row r="147" spans="2:3" x14ac:dyDescent="0.35">
      <c r="B147" s="1" t="s">
        <v>145</v>
      </c>
      <c r="C147" s="3" t="s">
        <v>1</v>
      </c>
    </row>
    <row r="148" spans="2:3" x14ac:dyDescent="0.35">
      <c r="B148" s="1" t="s">
        <v>146</v>
      </c>
      <c r="C148" s="3" t="s">
        <v>1</v>
      </c>
    </row>
    <row r="149" spans="2:3" x14ac:dyDescent="0.35">
      <c r="B149" s="1" t="s">
        <v>147</v>
      </c>
      <c r="C149" s="3" t="s">
        <v>1</v>
      </c>
    </row>
    <row r="150" spans="2:3" x14ac:dyDescent="0.35">
      <c r="B150" s="1" t="s">
        <v>148</v>
      </c>
      <c r="C150" s="3" t="s">
        <v>1</v>
      </c>
    </row>
    <row r="151" spans="2:3" x14ac:dyDescent="0.35">
      <c r="B151" s="1" t="s">
        <v>149</v>
      </c>
      <c r="C151" s="3" t="s">
        <v>1</v>
      </c>
    </row>
    <row r="152" spans="2:3" x14ac:dyDescent="0.35">
      <c r="B152" s="1" t="s">
        <v>150</v>
      </c>
      <c r="C152" s="3" t="s">
        <v>1</v>
      </c>
    </row>
    <row r="153" spans="2:3" x14ac:dyDescent="0.35">
      <c r="B153" s="1" t="s">
        <v>151</v>
      </c>
      <c r="C153" s="3" t="s">
        <v>1</v>
      </c>
    </row>
    <row r="154" spans="2:3" x14ac:dyDescent="0.35">
      <c r="B154" s="1" t="s">
        <v>152</v>
      </c>
      <c r="C154" s="3" t="s">
        <v>1</v>
      </c>
    </row>
    <row r="155" spans="2:3" x14ac:dyDescent="0.35">
      <c r="B155" s="1" t="s">
        <v>153</v>
      </c>
      <c r="C155" s="3" t="s">
        <v>1</v>
      </c>
    </row>
    <row r="156" spans="2:3" x14ac:dyDescent="0.35">
      <c r="B156" s="1" t="s">
        <v>154</v>
      </c>
      <c r="C156" s="3" t="s">
        <v>1</v>
      </c>
    </row>
    <row r="157" spans="2:3" x14ac:dyDescent="0.35">
      <c r="B157" s="1" t="s">
        <v>155</v>
      </c>
      <c r="C157" s="3" t="s">
        <v>1</v>
      </c>
    </row>
    <row r="158" spans="2:3" x14ac:dyDescent="0.35">
      <c r="B158" s="1" t="s">
        <v>156</v>
      </c>
      <c r="C158" s="3" t="s">
        <v>1</v>
      </c>
    </row>
    <row r="159" spans="2:3" x14ac:dyDescent="0.35">
      <c r="B159" s="1" t="s">
        <v>157</v>
      </c>
      <c r="C159" s="3" t="s">
        <v>1</v>
      </c>
    </row>
    <row r="160" spans="2:3" x14ac:dyDescent="0.35">
      <c r="B160" s="1" t="s">
        <v>158</v>
      </c>
      <c r="C160" s="3" t="s">
        <v>1</v>
      </c>
    </row>
    <row r="161" spans="2:3" x14ac:dyDescent="0.35">
      <c r="B161" s="1" t="s">
        <v>159</v>
      </c>
      <c r="C161" s="3" t="s">
        <v>1</v>
      </c>
    </row>
    <row r="162" spans="2:3" x14ac:dyDescent="0.35">
      <c r="B162" s="1" t="s">
        <v>160</v>
      </c>
      <c r="C162" s="3" t="s">
        <v>1</v>
      </c>
    </row>
    <row r="163" spans="2:3" x14ac:dyDescent="0.35">
      <c r="B163" s="1" t="s">
        <v>161</v>
      </c>
      <c r="C163" s="3" t="s">
        <v>1</v>
      </c>
    </row>
    <row r="164" spans="2:3" x14ac:dyDescent="0.35">
      <c r="B164" s="1" t="s">
        <v>162</v>
      </c>
      <c r="C164" s="3" t="s">
        <v>1</v>
      </c>
    </row>
    <row r="165" spans="2:3" x14ac:dyDescent="0.35">
      <c r="B165" s="1" t="s">
        <v>163</v>
      </c>
      <c r="C165" s="3" t="s">
        <v>1</v>
      </c>
    </row>
    <row r="166" spans="2:3" x14ac:dyDescent="0.35">
      <c r="B166" s="1" t="s">
        <v>164</v>
      </c>
      <c r="C166" s="3" t="s">
        <v>1</v>
      </c>
    </row>
    <row r="167" spans="2:3" x14ac:dyDescent="0.35">
      <c r="B167" s="1" t="s">
        <v>165</v>
      </c>
      <c r="C167" s="3" t="s">
        <v>1</v>
      </c>
    </row>
    <row r="168" spans="2:3" x14ac:dyDescent="0.35">
      <c r="B168" s="1" t="s">
        <v>166</v>
      </c>
      <c r="C168" s="3" t="s">
        <v>1</v>
      </c>
    </row>
    <row r="169" spans="2:3" x14ac:dyDescent="0.35">
      <c r="B169" s="1" t="s">
        <v>167</v>
      </c>
      <c r="C169" s="3" t="s">
        <v>1</v>
      </c>
    </row>
    <row r="170" spans="2:3" x14ac:dyDescent="0.35">
      <c r="B170" s="1" t="s">
        <v>168</v>
      </c>
      <c r="C170" s="3" t="s">
        <v>1</v>
      </c>
    </row>
    <row r="171" spans="2:3" x14ac:dyDescent="0.35">
      <c r="B171" s="1" t="s">
        <v>169</v>
      </c>
      <c r="C171" s="3" t="s">
        <v>1</v>
      </c>
    </row>
    <row r="172" spans="2:3" x14ac:dyDescent="0.35">
      <c r="B172" s="1" t="s">
        <v>170</v>
      </c>
      <c r="C172" s="3" t="s">
        <v>1</v>
      </c>
    </row>
    <row r="173" spans="2:3" x14ac:dyDescent="0.35">
      <c r="B173" s="1" t="s">
        <v>171</v>
      </c>
      <c r="C173" s="3" t="s">
        <v>1</v>
      </c>
    </row>
    <row r="174" spans="2:3" x14ac:dyDescent="0.35">
      <c r="B174" s="1" t="s">
        <v>172</v>
      </c>
      <c r="C174" s="3" t="s">
        <v>1</v>
      </c>
    </row>
    <row r="175" spans="2:3" x14ac:dyDescent="0.35">
      <c r="B175" s="1" t="s">
        <v>173</v>
      </c>
      <c r="C175" s="3" t="s">
        <v>1</v>
      </c>
    </row>
    <row r="176" spans="2:3" x14ac:dyDescent="0.35">
      <c r="B176" s="1" t="s">
        <v>174</v>
      </c>
      <c r="C176" s="3" t="s">
        <v>1</v>
      </c>
    </row>
    <row r="177" spans="2:3" x14ac:dyDescent="0.35">
      <c r="B177" s="1" t="s">
        <v>175</v>
      </c>
      <c r="C177" s="3" t="s">
        <v>1</v>
      </c>
    </row>
    <row r="178" spans="2:3" x14ac:dyDescent="0.35">
      <c r="B178" s="1" t="s">
        <v>176</v>
      </c>
      <c r="C178" s="3" t="s">
        <v>1</v>
      </c>
    </row>
    <row r="179" spans="2:3" x14ac:dyDescent="0.35">
      <c r="B179" s="1" t="s">
        <v>177</v>
      </c>
      <c r="C179" s="3" t="s">
        <v>1</v>
      </c>
    </row>
    <row r="180" spans="2:3" x14ac:dyDescent="0.35">
      <c r="B180" s="1" t="s">
        <v>178</v>
      </c>
      <c r="C180" s="3" t="s">
        <v>1</v>
      </c>
    </row>
    <row r="181" spans="2:3" x14ac:dyDescent="0.35">
      <c r="B181" s="1" t="s">
        <v>179</v>
      </c>
      <c r="C181" s="3" t="s">
        <v>1</v>
      </c>
    </row>
    <row r="182" spans="2:3" x14ac:dyDescent="0.35">
      <c r="B182" s="1" t="s">
        <v>180</v>
      </c>
      <c r="C182" s="3" t="s">
        <v>1</v>
      </c>
    </row>
    <row r="183" spans="2:3" x14ac:dyDescent="0.35">
      <c r="B183" s="1" t="s">
        <v>181</v>
      </c>
      <c r="C183" s="3" t="s">
        <v>1</v>
      </c>
    </row>
    <row r="184" spans="2:3" x14ac:dyDescent="0.35">
      <c r="B184" s="1" t="s">
        <v>182</v>
      </c>
      <c r="C184" s="3" t="s">
        <v>1</v>
      </c>
    </row>
    <row r="185" spans="2:3" x14ac:dyDescent="0.35">
      <c r="B185" s="1" t="s">
        <v>183</v>
      </c>
      <c r="C185" s="3" t="s">
        <v>1</v>
      </c>
    </row>
    <row r="186" spans="2:3" x14ac:dyDescent="0.35">
      <c r="B186" s="1" t="s">
        <v>184</v>
      </c>
      <c r="C186" s="3" t="s">
        <v>1</v>
      </c>
    </row>
    <row r="187" spans="2:3" x14ac:dyDescent="0.35">
      <c r="B187" s="1" t="s">
        <v>185</v>
      </c>
      <c r="C187" s="3" t="s">
        <v>1</v>
      </c>
    </row>
    <row r="188" spans="2:3" x14ac:dyDescent="0.35">
      <c r="B188" s="1" t="s">
        <v>186</v>
      </c>
      <c r="C188" s="3" t="s">
        <v>1</v>
      </c>
    </row>
    <row r="189" spans="2:3" x14ac:dyDescent="0.35">
      <c r="B189" s="1" t="s">
        <v>187</v>
      </c>
      <c r="C189" s="3" t="s">
        <v>1</v>
      </c>
    </row>
    <row r="190" spans="2:3" x14ac:dyDescent="0.35">
      <c r="B190" s="1" t="s">
        <v>188</v>
      </c>
      <c r="C190" s="3" t="s">
        <v>1</v>
      </c>
    </row>
    <row r="191" spans="2:3" x14ac:dyDescent="0.35">
      <c r="B191" s="1" t="s">
        <v>189</v>
      </c>
      <c r="C191" s="3" t="s">
        <v>1</v>
      </c>
    </row>
    <row r="192" spans="2:3" x14ac:dyDescent="0.35">
      <c r="B192" s="1" t="s">
        <v>190</v>
      </c>
      <c r="C192" s="3" t="s">
        <v>1</v>
      </c>
    </row>
    <row r="193" spans="2:3" x14ac:dyDescent="0.35">
      <c r="B193" s="1" t="s">
        <v>191</v>
      </c>
      <c r="C193" s="3" t="s">
        <v>1</v>
      </c>
    </row>
    <row r="194" spans="2:3" x14ac:dyDescent="0.35">
      <c r="B194" s="1" t="s">
        <v>192</v>
      </c>
      <c r="C194" s="3" t="s">
        <v>1</v>
      </c>
    </row>
    <row r="195" spans="2:3" x14ac:dyDescent="0.35">
      <c r="B195" s="1" t="s">
        <v>193</v>
      </c>
      <c r="C195" s="3" t="s">
        <v>1</v>
      </c>
    </row>
    <row r="196" spans="2:3" x14ac:dyDescent="0.35">
      <c r="B196" s="1" t="s">
        <v>194</v>
      </c>
      <c r="C196" s="3" t="s">
        <v>1</v>
      </c>
    </row>
    <row r="197" spans="2:3" x14ac:dyDescent="0.35">
      <c r="B197" s="1" t="s">
        <v>195</v>
      </c>
      <c r="C197" s="3" t="s">
        <v>1</v>
      </c>
    </row>
    <row r="198" spans="2:3" x14ac:dyDescent="0.35">
      <c r="B198" s="1" t="s">
        <v>196</v>
      </c>
      <c r="C198" s="3" t="s">
        <v>1</v>
      </c>
    </row>
    <row r="199" spans="2:3" x14ac:dyDescent="0.35">
      <c r="B199" s="1" t="s">
        <v>197</v>
      </c>
      <c r="C199" s="3" t="s">
        <v>1</v>
      </c>
    </row>
    <row r="200" spans="2:3" x14ac:dyDescent="0.35">
      <c r="B200" s="1" t="s">
        <v>198</v>
      </c>
      <c r="C200" s="3" t="s">
        <v>1</v>
      </c>
    </row>
    <row r="201" spans="2:3" x14ac:dyDescent="0.35">
      <c r="B201" s="1" t="s">
        <v>199</v>
      </c>
      <c r="C201" s="3" t="s">
        <v>1</v>
      </c>
    </row>
    <row r="202" spans="2:3" x14ac:dyDescent="0.35">
      <c r="B202" s="1" t="s">
        <v>200</v>
      </c>
      <c r="C202" s="3" t="s">
        <v>1</v>
      </c>
    </row>
    <row r="203" spans="2:3" x14ac:dyDescent="0.35">
      <c r="B203" s="1" t="s">
        <v>201</v>
      </c>
      <c r="C203" s="3" t="s">
        <v>1</v>
      </c>
    </row>
    <row r="204" spans="2:3" x14ac:dyDescent="0.35">
      <c r="B204" s="1" t="s">
        <v>202</v>
      </c>
      <c r="C204" s="3" t="s">
        <v>1</v>
      </c>
    </row>
    <row r="206" spans="2:3" x14ac:dyDescent="0.35">
      <c r="B206" s="1" t="s">
        <v>203</v>
      </c>
      <c r="C206" s="3" t="s">
        <v>1</v>
      </c>
    </row>
    <row r="207" spans="2:3" x14ac:dyDescent="0.35">
      <c r="B207" s="1" t="s">
        <v>9</v>
      </c>
      <c r="C207" s="3" t="s">
        <v>1</v>
      </c>
    </row>
    <row r="208" spans="2:3" x14ac:dyDescent="0.35">
      <c r="B208" s="1" t="s">
        <v>10</v>
      </c>
      <c r="C208" s="3" t="s">
        <v>1</v>
      </c>
    </row>
    <row r="209" spans="2:3" x14ac:dyDescent="0.35">
      <c r="B209" s="1" t="s">
        <v>11</v>
      </c>
      <c r="C209" s="3" t="s">
        <v>1</v>
      </c>
    </row>
    <row r="210" spans="2:3" x14ac:dyDescent="0.35">
      <c r="B210" s="1" t="s">
        <v>204</v>
      </c>
      <c r="C210" s="3" t="s">
        <v>1</v>
      </c>
    </row>
    <row r="211" spans="2:3" x14ac:dyDescent="0.35">
      <c r="B211" s="1" t="s">
        <v>205</v>
      </c>
      <c r="C211" s="3" t="s">
        <v>1</v>
      </c>
    </row>
    <row r="212" spans="2:3" x14ac:dyDescent="0.35">
      <c r="B212" s="1" t="s">
        <v>206</v>
      </c>
      <c r="C212" s="3" t="s">
        <v>1</v>
      </c>
    </row>
    <row r="213" spans="2:3" x14ac:dyDescent="0.35">
      <c r="B213" s="1" t="s">
        <v>207</v>
      </c>
      <c r="C213" s="3" t="s">
        <v>1</v>
      </c>
    </row>
    <row r="214" spans="2:3" x14ac:dyDescent="0.35">
      <c r="B214" s="1" t="s">
        <v>208</v>
      </c>
      <c r="C214" s="3" t="s">
        <v>1</v>
      </c>
    </row>
    <row r="215" spans="2:3" x14ac:dyDescent="0.35">
      <c r="B215" s="1" t="s">
        <v>209</v>
      </c>
      <c r="C215" s="3" t="s">
        <v>1</v>
      </c>
    </row>
    <row r="216" spans="2:3" x14ac:dyDescent="0.35">
      <c r="B216" s="1" t="s">
        <v>210</v>
      </c>
      <c r="C216" s="3" t="s">
        <v>1</v>
      </c>
    </row>
    <row r="217" spans="2:3" x14ac:dyDescent="0.35">
      <c r="B217" s="1" t="s">
        <v>211</v>
      </c>
      <c r="C217" s="3" t="s">
        <v>1</v>
      </c>
    </row>
    <row r="218" spans="2:3" x14ac:dyDescent="0.35">
      <c r="B218" s="1" t="s">
        <v>212</v>
      </c>
      <c r="C218" s="3" t="s">
        <v>1</v>
      </c>
    </row>
    <row r="219" spans="2:3" x14ac:dyDescent="0.35">
      <c r="B219" s="1" t="s">
        <v>213</v>
      </c>
      <c r="C219" s="3" t="s">
        <v>1</v>
      </c>
    </row>
    <row r="220" spans="2:3" x14ac:dyDescent="0.35">
      <c r="B220" s="1" t="s">
        <v>214</v>
      </c>
      <c r="C220" s="3" t="s">
        <v>1</v>
      </c>
    </row>
    <row r="221" spans="2:3" x14ac:dyDescent="0.35">
      <c r="B221" s="1" t="s">
        <v>215</v>
      </c>
      <c r="C221" s="3" t="s">
        <v>1</v>
      </c>
    </row>
    <row r="222" spans="2:3" x14ac:dyDescent="0.35">
      <c r="B222" s="1" t="s">
        <v>216</v>
      </c>
      <c r="C222" s="3" t="s">
        <v>1</v>
      </c>
    </row>
    <row r="223" spans="2:3" x14ac:dyDescent="0.35">
      <c r="B223" s="1" t="s">
        <v>217</v>
      </c>
      <c r="C223" s="3" t="s">
        <v>1</v>
      </c>
    </row>
    <row r="224" spans="2:3" x14ac:dyDescent="0.35">
      <c r="B224" s="1" t="s">
        <v>218</v>
      </c>
      <c r="C224" s="3" t="s">
        <v>1</v>
      </c>
    </row>
    <row r="225" spans="2:3" x14ac:dyDescent="0.35">
      <c r="B225" s="1" t="s">
        <v>219</v>
      </c>
      <c r="C225" s="3" t="s">
        <v>1</v>
      </c>
    </row>
    <row r="226" spans="2:3" x14ac:dyDescent="0.35">
      <c r="B226" s="1" t="s">
        <v>220</v>
      </c>
      <c r="C226" s="3" t="s">
        <v>1</v>
      </c>
    </row>
    <row r="227" spans="2:3" x14ac:dyDescent="0.35">
      <c r="B227" s="1" t="s">
        <v>221</v>
      </c>
      <c r="C227" s="3" t="s">
        <v>1</v>
      </c>
    </row>
    <row r="228" spans="2:3" x14ac:dyDescent="0.35">
      <c r="B228" s="1" t="s">
        <v>222</v>
      </c>
      <c r="C228" s="3" t="s">
        <v>1</v>
      </c>
    </row>
    <row r="229" spans="2:3" x14ac:dyDescent="0.35">
      <c r="B229" s="1" t="s">
        <v>223</v>
      </c>
      <c r="C229" s="3" t="s">
        <v>1</v>
      </c>
    </row>
    <row r="230" spans="2:3" x14ac:dyDescent="0.35">
      <c r="B230" s="1" t="s">
        <v>224</v>
      </c>
      <c r="C230" s="3" t="s">
        <v>1</v>
      </c>
    </row>
    <row r="231" spans="2:3" x14ac:dyDescent="0.35">
      <c r="B231" s="1" t="s">
        <v>225</v>
      </c>
      <c r="C231" s="3" t="s">
        <v>1</v>
      </c>
    </row>
    <row r="232" spans="2:3" x14ac:dyDescent="0.35">
      <c r="B232" s="1" t="s">
        <v>226</v>
      </c>
      <c r="C232" s="3" t="s">
        <v>1</v>
      </c>
    </row>
    <row r="233" spans="2:3" x14ac:dyDescent="0.35">
      <c r="B233" s="1" t="s">
        <v>227</v>
      </c>
      <c r="C233" s="3" t="s">
        <v>1</v>
      </c>
    </row>
    <row r="234" spans="2:3" x14ac:dyDescent="0.35">
      <c r="B234" s="1" t="s">
        <v>228</v>
      </c>
      <c r="C234" s="3" t="s">
        <v>1</v>
      </c>
    </row>
    <row r="235" spans="2:3" x14ac:dyDescent="0.35">
      <c r="B235" s="1" t="s">
        <v>229</v>
      </c>
      <c r="C235" s="3" t="s">
        <v>1</v>
      </c>
    </row>
    <row r="236" spans="2:3" x14ac:dyDescent="0.35">
      <c r="B236" s="1" t="s">
        <v>230</v>
      </c>
      <c r="C236" s="3" t="s">
        <v>1</v>
      </c>
    </row>
    <row r="237" spans="2:3" x14ac:dyDescent="0.35">
      <c r="B237" s="1" t="s">
        <v>231</v>
      </c>
      <c r="C237" s="3" t="s">
        <v>1</v>
      </c>
    </row>
    <row r="238" spans="2:3" x14ac:dyDescent="0.35">
      <c r="B238" s="1" t="s">
        <v>232</v>
      </c>
      <c r="C238" s="3" t="s">
        <v>1</v>
      </c>
    </row>
    <row r="239" spans="2:3" x14ac:dyDescent="0.35">
      <c r="B239" s="1" t="s">
        <v>233</v>
      </c>
      <c r="C239" s="3" t="s">
        <v>1</v>
      </c>
    </row>
    <row r="240" spans="2:3" x14ac:dyDescent="0.35">
      <c r="B240" s="1" t="s">
        <v>234</v>
      </c>
      <c r="C240" s="3" t="s">
        <v>1</v>
      </c>
    </row>
    <row r="241" spans="2:3" x14ac:dyDescent="0.35">
      <c r="B241" s="1" t="s">
        <v>235</v>
      </c>
      <c r="C241" s="3" t="s">
        <v>1</v>
      </c>
    </row>
    <row r="242" spans="2:3" x14ac:dyDescent="0.35">
      <c r="B242" s="1" t="s">
        <v>236</v>
      </c>
      <c r="C242" s="3" t="s">
        <v>1</v>
      </c>
    </row>
    <row r="243" spans="2:3" x14ac:dyDescent="0.35">
      <c r="B243" s="1" t="s">
        <v>237</v>
      </c>
      <c r="C243" s="3" t="s">
        <v>1</v>
      </c>
    </row>
    <row r="244" spans="2:3" x14ac:dyDescent="0.35">
      <c r="B244" s="1" t="s">
        <v>238</v>
      </c>
      <c r="C244" s="3" t="s">
        <v>1</v>
      </c>
    </row>
    <row r="245" spans="2:3" x14ac:dyDescent="0.35">
      <c r="B245" s="1" t="s">
        <v>239</v>
      </c>
      <c r="C245" s="3" t="s">
        <v>1</v>
      </c>
    </row>
    <row r="246" spans="2:3" x14ac:dyDescent="0.35">
      <c r="B246" s="1" t="s">
        <v>240</v>
      </c>
      <c r="C246" s="3" t="s">
        <v>1</v>
      </c>
    </row>
    <row r="247" spans="2:3" x14ac:dyDescent="0.35">
      <c r="B247" s="1" t="s">
        <v>241</v>
      </c>
      <c r="C247" s="3" t="s">
        <v>1</v>
      </c>
    </row>
    <row r="248" spans="2:3" x14ac:dyDescent="0.35">
      <c r="B248" s="1" t="s">
        <v>242</v>
      </c>
      <c r="C248" s="3" t="s">
        <v>1</v>
      </c>
    </row>
    <row r="249" spans="2:3" x14ac:dyDescent="0.35">
      <c r="B249" s="1" t="s">
        <v>243</v>
      </c>
      <c r="C249" s="3" t="s">
        <v>1</v>
      </c>
    </row>
    <row r="250" spans="2:3" x14ac:dyDescent="0.35">
      <c r="B250" s="1" t="s">
        <v>244</v>
      </c>
      <c r="C250" s="3" t="s">
        <v>1</v>
      </c>
    </row>
    <row r="251" spans="2:3" x14ac:dyDescent="0.35">
      <c r="B251" s="1" t="s">
        <v>245</v>
      </c>
      <c r="C251" s="3" t="s">
        <v>1</v>
      </c>
    </row>
    <row r="252" spans="2:3" x14ac:dyDescent="0.35">
      <c r="B252" s="1" t="s">
        <v>246</v>
      </c>
      <c r="C252" s="3" t="s">
        <v>1</v>
      </c>
    </row>
    <row r="253" spans="2:3" x14ac:dyDescent="0.35">
      <c r="B253" s="1" t="s">
        <v>247</v>
      </c>
      <c r="C253" s="3" t="s">
        <v>1</v>
      </c>
    </row>
    <row r="254" spans="2:3" x14ac:dyDescent="0.35">
      <c r="B254" s="1" t="s">
        <v>248</v>
      </c>
      <c r="C254" s="3" t="s">
        <v>1</v>
      </c>
    </row>
    <row r="255" spans="2:3" x14ac:dyDescent="0.35">
      <c r="B255" s="1" t="s">
        <v>249</v>
      </c>
      <c r="C255" s="3" t="s">
        <v>1</v>
      </c>
    </row>
    <row r="256" spans="2:3" x14ac:dyDescent="0.35">
      <c r="B256" s="1" t="s">
        <v>250</v>
      </c>
      <c r="C256" s="3" t="s">
        <v>1</v>
      </c>
    </row>
    <row r="257" spans="2:3" x14ac:dyDescent="0.35">
      <c r="B257" s="1" t="s">
        <v>251</v>
      </c>
      <c r="C257" s="3" t="s">
        <v>1</v>
      </c>
    </row>
    <row r="258" spans="2:3" x14ac:dyDescent="0.35">
      <c r="B258" s="1" t="s">
        <v>252</v>
      </c>
      <c r="C258" s="3" t="s">
        <v>1</v>
      </c>
    </row>
    <row r="259" spans="2:3" x14ac:dyDescent="0.35">
      <c r="B259" s="1" t="s">
        <v>253</v>
      </c>
      <c r="C259" s="3" t="s">
        <v>1</v>
      </c>
    </row>
    <row r="260" spans="2:3" x14ac:dyDescent="0.35">
      <c r="B260" s="1" t="s">
        <v>254</v>
      </c>
      <c r="C260" s="3" t="s">
        <v>1</v>
      </c>
    </row>
    <row r="261" spans="2:3" x14ac:dyDescent="0.35">
      <c r="B261" s="1" t="s">
        <v>255</v>
      </c>
      <c r="C261" s="3" t="s">
        <v>1</v>
      </c>
    </row>
    <row r="262" spans="2:3" x14ac:dyDescent="0.35">
      <c r="B262" s="1" t="s">
        <v>256</v>
      </c>
      <c r="C262" s="3" t="s">
        <v>1</v>
      </c>
    </row>
    <row r="263" spans="2:3" x14ac:dyDescent="0.35">
      <c r="B263" s="1" t="s">
        <v>257</v>
      </c>
      <c r="C263" s="3" t="s">
        <v>1</v>
      </c>
    </row>
    <row r="264" spans="2:3" x14ac:dyDescent="0.35">
      <c r="B264" s="1" t="s">
        <v>258</v>
      </c>
      <c r="C264" s="3" t="s">
        <v>1</v>
      </c>
    </row>
    <row r="265" spans="2:3" x14ac:dyDescent="0.35">
      <c r="B265" s="1" t="s">
        <v>259</v>
      </c>
      <c r="C265" s="3" t="s">
        <v>1</v>
      </c>
    </row>
    <row r="266" spans="2:3" x14ac:dyDescent="0.35">
      <c r="B266" s="1" t="s">
        <v>260</v>
      </c>
      <c r="C266" s="3" t="s">
        <v>1</v>
      </c>
    </row>
    <row r="267" spans="2:3" x14ac:dyDescent="0.35">
      <c r="B267" s="1" t="s">
        <v>261</v>
      </c>
      <c r="C267" s="3" t="s">
        <v>1</v>
      </c>
    </row>
    <row r="268" spans="2:3" x14ac:dyDescent="0.35">
      <c r="B268" s="1" t="s">
        <v>262</v>
      </c>
      <c r="C268" s="3" t="s">
        <v>1</v>
      </c>
    </row>
    <row r="269" spans="2:3" x14ac:dyDescent="0.35">
      <c r="B269" s="1" t="s">
        <v>263</v>
      </c>
      <c r="C269" s="3" t="s">
        <v>1</v>
      </c>
    </row>
    <row r="270" spans="2:3" x14ac:dyDescent="0.35">
      <c r="B270" s="1" t="s">
        <v>264</v>
      </c>
      <c r="C270" s="3" t="s">
        <v>1</v>
      </c>
    </row>
    <row r="271" spans="2:3" x14ac:dyDescent="0.35">
      <c r="B271" s="1" t="s">
        <v>265</v>
      </c>
      <c r="C271" s="3" t="s">
        <v>1</v>
      </c>
    </row>
    <row r="272" spans="2:3" x14ac:dyDescent="0.35">
      <c r="B272" s="1" t="s">
        <v>266</v>
      </c>
      <c r="C272" s="3" t="s">
        <v>1</v>
      </c>
    </row>
    <row r="273" spans="2:3" x14ac:dyDescent="0.35">
      <c r="B273" s="1" t="s">
        <v>267</v>
      </c>
      <c r="C273" s="3" t="s">
        <v>1</v>
      </c>
    </row>
    <row r="274" spans="2:3" x14ac:dyDescent="0.35">
      <c r="B274" s="1" t="s">
        <v>268</v>
      </c>
      <c r="C274" s="3" t="s">
        <v>1</v>
      </c>
    </row>
    <row r="275" spans="2:3" x14ac:dyDescent="0.35">
      <c r="B275" s="1" t="s">
        <v>269</v>
      </c>
      <c r="C275" s="3" t="s">
        <v>1</v>
      </c>
    </row>
    <row r="276" spans="2:3" x14ac:dyDescent="0.35">
      <c r="B276" s="1" t="s">
        <v>270</v>
      </c>
      <c r="C276" s="3" t="s">
        <v>1</v>
      </c>
    </row>
    <row r="277" spans="2:3" x14ac:dyDescent="0.35">
      <c r="B277" s="1" t="s">
        <v>271</v>
      </c>
      <c r="C277" s="3" t="s">
        <v>1</v>
      </c>
    </row>
    <row r="278" spans="2:3" x14ac:dyDescent="0.35">
      <c r="B278" s="1" t="s">
        <v>272</v>
      </c>
      <c r="C278" s="3" t="s">
        <v>1</v>
      </c>
    </row>
    <row r="279" spans="2:3" x14ac:dyDescent="0.35">
      <c r="B279" s="1" t="s">
        <v>273</v>
      </c>
      <c r="C279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5" x14ac:dyDescent="0.35"/>
  <sheetData>
    <row r="1" spans="1:8" x14ac:dyDescent="0.35">
      <c r="A1">
        <v>10</v>
      </c>
      <c r="B1" t="s">
        <v>274</v>
      </c>
      <c r="C1">
        <v>80</v>
      </c>
      <c r="D1" t="s">
        <v>275</v>
      </c>
      <c r="E1">
        <v>5</v>
      </c>
      <c r="F1">
        <v>50</v>
      </c>
      <c r="G1">
        <v>10</v>
      </c>
    </row>
    <row r="2" spans="1:8" x14ac:dyDescent="0.35">
      <c r="A2">
        <v>20</v>
      </c>
      <c r="B2" t="s">
        <v>276</v>
      </c>
      <c r="C2">
        <v>70</v>
      </c>
      <c r="D2" t="s">
        <v>277</v>
      </c>
      <c r="E2" t="s">
        <v>278</v>
      </c>
      <c r="F2">
        <v>10</v>
      </c>
      <c r="G2" t="s">
        <v>279</v>
      </c>
    </row>
    <row r="3" spans="1:8" x14ac:dyDescent="0.35">
      <c r="A3">
        <v>30</v>
      </c>
      <c r="B3" t="s">
        <v>280</v>
      </c>
      <c r="C3">
        <v>60</v>
      </c>
      <c r="D3" t="s">
        <v>281</v>
      </c>
      <c r="E3" t="b">
        <f>TRUE</f>
        <v>1</v>
      </c>
      <c r="F3">
        <v>70</v>
      </c>
      <c r="G3">
        <v>20</v>
      </c>
    </row>
    <row r="4" spans="1:8" x14ac:dyDescent="0.35">
      <c r="A4">
        <v>40</v>
      </c>
      <c r="B4" t="s">
        <v>282</v>
      </c>
      <c r="C4">
        <v>50</v>
      </c>
      <c r="D4" t="s">
        <v>283</v>
      </c>
      <c r="F4">
        <v>20</v>
      </c>
      <c r="G4" t="s">
        <v>284</v>
      </c>
    </row>
    <row r="5" spans="1:8" x14ac:dyDescent="0.35">
      <c r="A5">
        <v>50</v>
      </c>
      <c r="B5" t="s">
        <v>285</v>
      </c>
      <c r="C5">
        <v>40</v>
      </c>
      <c r="D5" t="s">
        <v>286</v>
      </c>
      <c r="E5" t="e">
        <f>1/0</f>
        <v>#DIV/0!</v>
      </c>
      <c r="F5">
        <v>80</v>
      </c>
      <c r="G5">
        <v>30</v>
      </c>
    </row>
    <row r="6" spans="1:8" x14ac:dyDescent="0.35">
      <c r="A6">
        <v>60</v>
      </c>
      <c r="B6" t="s">
        <v>287</v>
      </c>
      <c r="C6">
        <v>30</v>
      </c>
      <c r="D6" t="s">
        <v>288</v>
      </c>
      <c r="E6">
        <v>5</v>
      </c>
      <c r="F6">
        <v>30</v>
      </c>
      <c r="G6" t="b">
        <f>TRUE</f>
        <v>1</v>
      </c>
    </row>
    <row r="7" spans="1:8" x14ac:dyDescent="0.35">
      <c r="A7">
        <v>70</v>
      </c>
      <c r="B7" t="s">
        <v>289</v>
      </c>
      <c r="C7">
        <v>20</v>
      </c>
      <c r="D7" t="s">
        <v>290</v>
      </c>
      <c r="E7" t="s">
        <v>279</v>
      </c>
      <c r="F7">
        <v>60</v>
      </c>
      <c r="G7">
        <v>40</v>
      </c>
    </row>
    <row r="8" spans="1:8" x14ac:dyDescent="0.35">
      <c r="A8">
        <v>80</v>
      </c>
      <c r="B8" t="s">
        <v>291</v>
      </c>
      <c r="C8">
        <v>10</v>
      </c>
      <c r="D8" t="s">
        <v>292</v>
      </c>
      <c r="E8" t="s">
        <v>293</v>
      </c>
      <c r="F8">
        <v>40</v>
      </c>
    </row>
    <row r="9" spans="1:8" x14ac:dyDescent="0.35">
      <c r="E9">
        <v>0</v>
      </c>
      <c r="G9">
        <v>50</v>
      </c>
    </row>
    <row r="10" spans="1:8" x14ac:dyDescent="0.35">
      <c r="E10" t="b">
        <f>FALSE</f>
        <v>0</v>
      </c>
    </row>
    <row r="12" spans="1:8" x14ac:dyDescent="0.35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</row>
    <row r="13" spans="1:8" x14ac:dyDescent="0.35">
      <c r="A13" t="s">
        <v>294</v>
      </c>
      <c r="B13" t="s">
        <v>295</v>
      </c>
      <c r="C13" t="s">
        <v>296</v>
      </c>
      <c r="D13" t="s">
        <v>297</v>
      </c>
      <c r="E13" t="s">
        <v>298</v>
      </c>
      <c r="F13" t="s">
        <v>299</v>
      </c>
      <c r="G13" t="s">
        <v>300</v>
      </c>
      <c r="H13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0"/>
  <sheetViews>
    <sheetView workbookViewId="0"/>
  </sheetViews>
  <sheetFormatPr defaultRowHeight="14.5" x14ac:dyDescent="0.35"/>
  <sheetData>
    <row r="1" spans="1:1" x14ac:dyDescent="0.35">
      <c r="A1">
        <f>MATCH(30,table!A1:A8,0)</f>
        <v>3</v>
      </c>
    </row>
    <row r="2" spans="1:1" x14ac:dyDescent="0.35">
      <c r="A2">
        <f>MATCH(35,table!A1:A8,1)</f>
        <v>3</v>
      </c>
    </row>
    <row r="3" spans="1:1" x14ac:dyDescent="0.35">
      <c r="A3">
        <f>MATCH(35,table!A1:A8)</f>
        <v>3</v>
      </c>
    </row>
    <row r="4" spans="1:1" x14ac:dyDescent="0.35">
      <c r="A4" t="e">
        <f>MATCH(5,table!A1:A8)</f>
        <v>#N/A</v>
      </c>
    </row>
    <row r="5" spans="1:1" x14ac:dyDescent="0.35">
      <c r="A5">
        <f>MATCH(99,table!A1:A8)</f>
        <v>8</v>
      </c>
    </row>
    <row r="6" spans="1:1" x14ac:dyDescent="0.35">
      <c r="A6">
        <f>MATCH(35,table!C1:C8,-1)</f>
        <v>5</v>
      </c>
    </row>
    <row r="7" spans="1:1" x14ac:dyDescent="0.35">
      <c r="A7">
        <f>MATCH(5,table!C1:C8,-1)</f>
        <v>8</v>
      </c>
    </row>
    <row r="8" spans="1:1" x14ac:dyDescent="0.35">
      <c r="A8" t="e">
        <f>MATCH(99,table!C1:C8,-1)</f>
        <v>#N/A</v>
      </c>
    </row>
    <row r="9" spans="1:1" x14ac:dyDescent="0.35">
      <c r="A9">
        <f>MATCH("BANANA",table!D1:D8,0)</f>
        <v>2</v>
      </c>
    </row>
    <row r="10" spans="1:1" x14ac:dyDescent="0.35">
      <c r="A10">
        <f>MATCH("b*",table!D1:D8,0)</f>
        <v>2</v>
      </c>
    </row>
    <row r="11" spans="1:1" x14ac:dyDescent="0.35">
      <c r="A11">
        <f>MATCH("?ig",table!D1:D8,0)</f>
        <v>6</v>
      </c>
    </row>
    <row r="12" spans="1:1" x14ac:dyDescent="0.35">
      <c r="A12">
        <f>MATCH("*e*",table!D1:D8,0)</f>
        <v>1</v>
      </c>
    </row>
    <row r="13" spans="1:1" x14ac:dyDescent="0.35">
      <c r="A13">
        <f>MATCH("cherrz",table!D1:D8,1)</f>
        <v>3</v>
      </c>
    </row>
    <row r="14" spans="1:1" x14ac:dyDescent="0.35">
      <c r="A14">
        <f>MATCH("5",table!E1:E10,0)</f>
        <v>2</v>
      </c>
    </row>
    <row r="15" spans="1:1" x14ac:dyDescent="0.35">
      <c r="A15">
        <f>MATCH(5,table!E1:E10,0)</f>
        <v>1</v>
      </c>
    </row>
    <row r="16" spans="1:1" x14ac:dyDescent="0.35">
      <c r="A16">
        <f>MATCH(TRUE,table!E1:E10,0)</f>
        <v>3</v>
      </c>
    </row>
    <row r="17" spans="1:1" x14ac:dyDescent="0.35">
      <c r="A17">
        <f>MATCH("X",table!E1:E10,0)</f>
        <v>7</v>
      </c>
    </row>
    <row r="18" spans="1:1" x14ac:dyDescent="0.35">
      <c r="A18">
        <f>MATCH(0,table!E1:E10,0)</f>
        <v>9</v>
      </c>
    </row>
    <row r="19" spans="1:1" x14ac:dyDescent="0.35">
      <c r="A19">
        <f>MATCH(FALSE,table!E1:E10,0)</f>
        <v>10</v>
      </c>
    </row>
    <row r="20" spans="1:1" x14ac:dyDescent="0.35">
      <c r="A20" t="e">
        <f>MATCH(30,table!A1:B8,0)</f>
        <v>#N/A</v>
      </c>
    </row>
    <row r="21" spans="1:1" x14ac:dyDescent="0.35">
      <c r="A21" t="e">
        <f>MATCH(35,table!A1:A8,)</f>
        <v>#N/A</v>
      </c>
    </row>
    <row r="22" spans="1:1" x14ac:dyDescent="0.35">
      <c r="A22">
        <f>MATCH(3,table!A12:H12,0)</f>
        <v>3</v>
      </c>
    </row>
    <row r="23" spans="1:1" x14ac:dyDescent="0.35">
      <c r="A23">
        <f>MATCH(45,table!F1:F8,1)</f>
        <v>6</v>
      </c>
    </row>
    <row r="24" spans="1:1" x14ac:dyDescent="0.35">
      <c r="A24">
        <f>MATCH(25,table!F1:F8,1)</f>
        <v>4</v>
      </c>
    </row>
    <row r="25" spans="1:1" x14ac:dyDescent="0.35">
      <c r="A25">
        <f>MATCH(65,table!F1:F8)</f>
        <v>8</v>
      </c>
    </row>
    <row r="26" spans="1:1" x14ac:dyDescent="0.35">
      <c r="A26">
        <f>MATCH(15,table!F1:F8,-1)</f>
        <v>1</v>
      </c>
    </row>
    <row r="27" spans="1:1" x14ac:dyDescent="0.35">
      <c r="A27">
        <f>MATCH(35,table!G1:G9,1)</f>
        <v>5</v>
      </c>
    </row>
    <row r="28" spans="1:1" x14ac:dyDescent="0.35">
      <c r="A28">
        <f>MATCH("xa",table!G1:G9,1)</f>
        <v>2</v>
      </c>
    </row>
    <row r="29" spans="1:1" x14ac:dyDescent="0.35">
      <c r="A29">
        <f>MATCH(TRUE,table!G1:G9,1)</f>
        <v>6</v>
      </c>
    </row>
    <row r="30" spans="1:1" x14ac:dyDescent="0.35">
      <c r="A30" t="e">
        <f>MATCH(table!E5,table!A1:A8,0)</f>
        <v>#DIV/0!</v>
      </c>
    </row>
    <row r="31" spans="1:1" x14ac:dyDescent="0.35">
      <c r="A31">
        <f>_xlfn.XMATCH("banana",table!D1:D8)</f>
        <v>2</v>
      </c>
    </row>
    <row r="32" spans="1:1" x14ac:dyDescent="0.35">
      <c r="A32" t="e">
        <f>_xlfn.XMATCH(35,table!A1:A8)</f>
        <v>#N/A</v>
      </c>
    </row>
    <row r="33" spans="1:1" x14ac:dyDescent="0.35">
      <c r="A33">
        <f>_xlfn.XMATCH(35,table!A1:A8,1)</f>
        <v>4</v>
      </c>
    </row>
    <row r="34" spans="1:1" x14ac:dyDescent="0.35">
      <c r="A34">
        <f>_xlfn.XMATCH(35,table!A1:A8,-1)</f>
        <v>3</v>
      </c>
    </row>
    <row r="35" spans="1:1" x14ac:dyDescent="0.35">
      <c r="A35">
        <f>_xlfn.XMATCH(35,table!A1:A8,1,2)</f>
        <v>4</v>
      </c>
    </row>
    <row r="36" spans="1:1" x14ac:dyDescent="0.35">
      <c r="A36">
        <f>_xlfn.XMATCH(35,table!A1:A8,-1,2)</f>
        <v>3</v>
      </c>
    </row>
    <row r="37" spans="1:1" x14ac:dyDescent="0.35">
      <c r="A37">
        <f>_xlfn.XMATCH(35,table!C1:C8,1,-2)</f>
        <v>5</v>
      </c>
    </row>
    <row r="38" spans="1:1" x14ac:dyDescent="0.35">
      <c r="A38">
        <f>_xlfn.XMATCH(35,table!C1:C8,-1,-2)</f>
        <v>6</v>
      </c>
    </row>
    <row r="39" spans="1:1" x14ac:dyDescent="0.35">
      <c r="A39">
        <f>_xlfn.XMATCH("c*",table!D1:D8,2)</f>
        <v>3</v>
      </c>
    </row>
    <row r="40" spans="1:1" x14ac:dyDescent="0.35">
      <c r="A40" t="e">
        <f>_xlfn.XMATCH("c*",table!D1:D8)</f>
        <v>#N/A</v>
      </c>
    </row>
    <row r="41" spans="1:1" x14ac:dyDescent="0.35">
      <c r="A41">
        <f>_xlfn.XMATCH(5,table!E1:E10,0,-1)</f>
        <v>6</v>
      </c>
    </row>
    <row r="42" spans="1:1" x14ac:dyDescent="0.35">
      <c r="A42">
        <f>_xlfn.XMATCH(45,table!F1:F8,1)</f>
        <v>1</v>
      </c>
    </row>
    <row r="43" spans="1:1" x14ac:dyDescent="0.35">
      <c r="A43">
        <f>_xlfn.XMATCH(45,table!F1:F8,-1)</f>
        <v>8</v>
      </c>
    </row>
    <row r="44" spans="1:1" x14ac:dyDescent="0.35">
      <c r="A44">
        <f>_xlfn.XMATCH(45,table!F1:F8,1,2)</f>
        <v>7</v>
      </c>
    </row>
    <row r="45" spans="1:1" x14ac:dyDescent="0.35">
      <c r="A45">
        <f>_xlfn.XMATCH(45,table!F1:F8,-1,2)</f>
        <v>6</v>
      </c>
    </row>
    <row r="46" spans="1:1" x14ac:dyDescent="0.35">
      <c r="A46">
        <f>_xlfn.XMATCH(30,table!A1:A8,3)</f>
        <v>3</v>
      </c>
    </row>
    <row r="47" spans="1:1" x14ac:dyDescent="0.35">
      <c r="A47" t="e">
        <f>_xlfn.XMATCH(30,table!A1:A8,0,3)</f>
        <v>#VALUE!</v>
      </c>
    </row>
    <row r="48" spans="1:1" x14ac:dyDescent="0.35">
      <c r="A48" t="e">
        <f>_xlfn.XMATCH("c*",table!D1:D8,2,2)</f>
        <v>#VALUE!</v>
      </c>
    </row>
    <row r="49" spans="1:1" x14ac:dyDescent="0.35">
      <c r="A49" t="e">
        <f>_xlfn.XMATCH(30,table!A1:B8)</f>
        <v>#VALUE!</v>
      </c>
    </row>
    <row r="50" spans="1:1" x14ac:dyDescent="0.35">
      <c r="A50">
        <f>_xlfn.XMATCH(4,table!A12:H12)</f>
        <v>4</v>
      </c>
    </row>
    <row r="51" spans="1:1" x14ac:dyDescent="0.35">
      <c r="A51">
        <f>_xlfn.XMATCH(0,table!E1:E10)</f>
        <v>9</v>
      </c>
    </row>
    <row r="52" spans="1:1" x14ac:dyDescent="0.35">
      <c r="A52">
        <f>_xlfn.XMATCH("x",table!E1:E10,0,-1)</f>
        <v>8</v>
      </c>
    </row>
    <row r="53" spans="1:1" x14ac:dyDescent="0.35">
      <c r="A53" t="str">
        <f>VLOOKUP(30,table!A1:B8,2,FALSE)</f>
        <v>r3</v>
      </c>
    </row>
    <row r="54" spans="1:1" x14ac:dyDescent="0.35">
      <c r="A54" t="str">
        <f>VLOOKUP(35,table!A1:B8,2)</f>
        <v>r3</v>
      </c>
    </row>
    <row r="55" spans="1:1" x14ac:dyDescent="0.35">
      <c r="A55" t="str">
        <f>VLOOKUP(35,table!A1:B8,2,TRUE)</f>
        <v>r3</v>
      </c>
    </row>
    <row r="56" spans="1:1" x14ac:dyDescent="0.35">
      <c r="A56" t="e">
        <f>VLOOKUP(35,table!A1:B8,2,FALSE)</f>
        <v>#N/A</v>
      </c>
    </row>
    <row r="57" spans="1:1" x14ac:dyDescent="0.35">
      <c r="A57" t="e">
        <f>VLOOKUP(35,table!A1:B8,2,)</f>
        <v>#N/A</v>
      </c>
    </row>
    <row r="58" spans="1:1" x14ac:dyDescent="0.35">
      <c r="A58" t="e">
        <f>VLOOKUP(30,table!A1:B8,3,FALSE)</f>
        <v>#REF!</v>
      </c>
    </row>
    <row r="59" spans="1:1" x14ac:dyDescent="0.35">
      <c r="A59" t="e" vm="1">
        <f>VLOOKUP(30,table!A1:B8,0,FALSE)</f>
        <v>#VALUE!</v>
      </c>
    </row>
    <row r="60" spans="1:1" x14ac:dyDescent="0.35">
      <c r="A60" t="b">
        <f>VLOOKUP("CHERRY",table!D1:E8,2,FALSE)</f>
        <v>1</v>
      </c>
    </row>
    <row r="61" spans="1:1" x14ac:dyDescent="0.35">
      <c r="A61" t="str">
        <f>VLOOKUP("gr*",table!D1:E8,2,FALSE)</f>
        <v>x</v>
      </c>
    </row>
    <row r="62" spans="1:1" x14ac:dyDescent="0.35">
      <c r="A62">
        <f>VLOOKUP(40,table!A1:E8,5,FALSE)</f>
        <v>0</v>
      </c>
    </row>
    <row r="63" spans="1:1" x14ac:dyDescent="0.35">
      <c r="A63" t="e">
        <f>VLOOKUP(5,table!A1:B8,2)</f>
        <v>#N/A</v>
      </c>
    </row>
    <row r="64" spans="1:1" x14ac:dyDescent="0.35">
      <c r="A64" t="b">
        <f>VLOOKUP(45,table!F1:G8,2)</f>
        <v>1</v>
      </c>
    </row>
    <row r="65" spans="1:1" x14ac:dyDescent="0.35">
      <c r="A65" t="str">
        <f>VLOOKUP(30,table!A1:B8,2.7,FALSE)</f>
        <v>r3</v>
      </c>
    </row>
    <row r="66" spans="1:1" x14ac:dyDescent="0.35">
      <c r="A66" t="str">
        <f>VLOOKUP("zzz",table!D1:E8,2)</f>
        <v>X</v>
      </c>
    </row>
    <row r="67" spans="1:1" x14ac:dyDescent="0.35">
      <c r="A67" t="str">
        <f>HLOOKUP(3,table!A12:H13,2,FALSE)</f>
        <v>three</v>
      </c>
    </row>
    <row r="68" spans="1:1" x14ac:dyDescent="0.35">
      <c r="A68" t="str">
        <f>HLOOKUP(3.5,table!A12:H13,2)</f>
        <v>three</v>
      </c>
    </row>
    <row r="69" spans="1:1" x14ac:dyDescent="0.35">
      <c r="A69" t="e">
        <f>HLOOKUP(3,table!A12:H13,3,FALSE)</f>
        <v>#REF!</v>
      </c>
    </row>
    <row r="70" spans="1:1" x14ac:dyDescent="0.35">
      <c r="A70" t="e">
        <f>HLOOKUP(0,table!A12:H13,2)</f>
        <v>#N/A</v>
      </c>
    </row>
    <row r="71" spans="1:1" x14ac:dyDescent="0.35">
      <c r="A71" t="str" cm="1">
        <f t="array" ref="A71">LOOKUP(35,table!A1:A8,table!B1:B8)</f>
        <v>r3</v>
      </c>
    </row>
    <row r="72" spans="1:1" x14ac:dyDescent="0.35">
      <c r="A72" t="str" cm="1">
        <f t="array" ref="A72">LOOKUP(35,table!A1:B8)</f>
        <v>r3</v>
      </c>
    </row>
    <row r="73" spans="1:1" x14ac:dyDescent="0.35">
      <c r="A73" t="e" cm="1">
        <f t="array" ref="A73">LOOKUP(5,table!A1:A8,table!B1:B8)</f>
        <v>#N/A</v>
      </c>
    </row>
    <row r="74" spans="1:1" x14ac:dyDescent="0.35">
      <c r="A74" t="str" cm="1">
        <f t="array" ref="A74">LOOKUP(3.5,table!A12:H13)</f>
        <v>three</v>
      </c>
    </row>
    <row r="75" spans="1:1" x14ac:dyDescent="0.35">
      <c r="A75" cm="1">
        <f t="array" ref="A75">LOOKUP(9.99E+307,table!A1:A8)</f>
        <v>80</v>
      </c>
    </row>
    <row r="76" spans="1:1" x14ac:dyDescent="0.35">
      <c r="A76" t="str" cm="1">
        <f t="array" ref="A76">LOOKUP("zzzz",table!D1:D8)</f>
        <v>Hazel</v>
      </c>
    </row>
    <row r="77" spans="1:1" x14ac:dyDescent="0.35">
      <c r="A77" t="str" cm="1">
        <f t="array" ref="A77">LOOKUP(35,table!A1:A8,table!A13:H13)</f>
        <v>three</v>
      </c>
    </row>
    <row r="78" spans="1:1" x14ac:dyDescent="0.35">
      <c r="A78" t="str" cm="1">
        <f t="array" aca="1" ref="A78" ca="1">LOOKUP(99,table!A1:A8,table!B1:B4)</f>
        <v>r8</v>
      </c>
    </row>
    <row r="79" spans="1:1" x14ac:dyDescent="0.35">
      <c r="A79" cm="1">
        <f t="array" ref="A79">LOOKUP(9.99E+307,table!G1:G9)</f>
        <v>50</v>
      </c>
    </row>
    <row r="80" spans="1:1" x14ac:dyDescent="0.35">
      <c r="A80" t="str" cm="1">
        <f t="array" ref="A80">LOOKUP(45,table!F1:F8,table!B1:B8)</f>
        <v>r6</v>
      </c>
    </row>
    <row r="81" spans="1:1" x14ac:dyDescent="0.35">
      <c r="A81" t="str" cm="1">
        <f t="array" ref="A81">_xlfn.XLOOKUP(30,table!A1:A8,table!B1:B8)</f>
        <v>r3</v>
      </c>
    </row>
    <row r="82" spans="1:1" x14ac:dyDescent="0.35">
      <c r="A82" t="str" cm="1">
        <f t="array" ref="A82">_xlfn.XLOOKUP(31,table!A1:A8,table!B1:B8,"none")</f>
        <v>none</v>
      </c>
    </row>
    <row r="83" spans="1:1" x14ac:dyDescent="0.35">
      <c r="A83" t="e" cm="1">
        <f t="array" ref="A83">_xlfn.XLOOKUP(31,table!A1:A8,table!B1:B8)</f>
        <v>#N/A</v>
      </c>
    </row>
    <row r="84" spans="1:1" x14ac:dyDescent="0.35">
      <c r="A84" t="str" cm="1">
        <f t="array" ref="A84">_xlfn.XLOOKUP(35,table!A1:A8,table!B1:B8,,1)</f>
        <v>r4</v>
      </c>
    </row>
    <row r="85" spans="1:1" x14ac:dyDescent="0.35">
      <c r="A85" t="str" cm="1">
        <f t="array" ref="A85">_xlfn.XLOOKUP(35,table!A1:A8,table!B1:B8,,-1,2)</f>
        <v>r3</v>
      </c>
    </row>
    <row r="86" spans="1:1" x14ac:dyDescent="0.35">
      <c r="A86" t="e" cm="1">
        <f t="array" ref="A86">_xlfn.XLOOKUP(30,table!A1:A8,table!B1:B7)</f>
        <v>#VALUE!</v>
      </c>
    </row>
    <row r="87" spans="1:1" x14ac:dyDescent="0.35">
      <c r="A87" t="str" cm="1">
        <f t="array" ref="A87">_xlfn.XLOOKUP(3,table!A12:H12,table!A13:H13)</f>
        <v>three</v>
      </c>
    </row>
    <row r="88" spans="1:1" x14ac:dyDescent="0.35">
      <c r="A88" cm="1">
        <f t="array" ref="A88">_xlfn.XLOOKUP(5,table!E1:E10,table!A1:A10,,0,-1)</f>
        <v>60</v>
      </c>
    </row>
    <row r="89" spans="1:1" x14ac:dyDescent="0.35">
      <c r="A89" cm="1">
        <f t="array" ref="A89">_xlfn.XLOOKUP("b?nana",table!D1:D8,table!A1:A8,,2)</f>
        <v>20</v>
      </c>
    </row>
    <row r="90" spans="1:1" x14ac:dyDescent="0.35">
      <c r="A90" cm="1">
        <f t="array" ref="A90">_xlfn.XLOOKUP(45,table!F1:F8,table!A1:A8,,1)</f>
        <v>10</v>
      </c>
    </row>
    <row r="91" spans="1:1" x14ac:dyDescent="0.35">
      <c r="A91" t="e" cm="1">
        <f t="array" ref="A91">_xlfn.XLOOKUP(31,table!A1:A8,table!B1:B8,1/0)</f>
        <v>#DIV/0!</v>
      </c>
    </row>
    <row r="92" spans="1:1" x14ac:dyDescent="0.35">
      <c r="A92" t="str" cm="1">
        <f t="array" ref="A92">INDEX(table!A1:B8,3,2)</f>
        <v>r3</v>
      </c>
    </row>
    <row r="93" spans="1:1" x14ac:dyDescent="0.35">
      <c r="A93" cm="1">
        <f t="array" ref="A93">INDEX(table!A1:A8,4)</f>
        <v>40</v>
      </c>
    </row>
    <row r="94" spans="1:1" x14ac:dyDescent="0.35">
      <c r="A94" cm="1">
        <f t="array" ref="A94">INDEX(table!A12:H12,3)</f>
        <v>3</v>
      </c>
    </row>
    <row r="95" spans="1:1" x14ac:dyDescent="0.35">
      <c r="A95" t="e" cm="1">
        <f t="array" ref="A95">INDEX(table!A1:B8,9,1)</f>
        <v>#REF!</v>
      </c>
    </row>
    <row r="96" spans="1:1" x14ac:dyDescent="0.35">
      <c r="A96" t="e" cm="1">
        <f t="array" ref="A96">INDEX(table!A1:B8,1,3)</f>
        <v>#REF!</v>
      </c>
    </row>
    <row r="97" spans="1:2" x14ac:dyDescent="0.35">
      <c r="A97" t="e" cm="1">
        <f t="array" ref="A97">INDEX(table!A1:B8,-1,1)</f>
        <v>#VALUE!</v>
      </c>
    </row>
    <row r="98" spans="1:2" x14ac:dyDescent="0.35">
      <c r="A98" cm="1">
        <f t="array" ref="A98">INDEX(table!A1:B8,2.9,1.2)</f>
        <v>20</v>
      </c>
    </row>
    <row r="99" spans="1:2" x14ac:dyDescent="0.35">
      <c r="A99" cm="1">
        <f t="array" ref="A99">SUM(INDEX(table!A1:C8,0,1))</f>
        <v>360</v>
      </c>
    </row>
    <row r="100" spans="1:2" x14ac:dyDescent="0.35">
      <c r="A100" cm="1">
        <f t="array" ref="A100">SUM(INDEX(table!A1:C8,2,0))</f>
        <v>90</v>
      </c>
    </row>
    <row r="101" spans="1:2" x14ac:dyDescent="0.35">
      <c r="A101" cm="1">
        <f t="array" ref="A101">INDEX(table!A1:A8,MATCH(40,table!A1:A8,0))</f>
        <v>40</v>
      </c>
    </row>
    <row r="102" spans="1:2" x14ac:dyDescent="0.35">
      <c r="A102" cm="1">
        <f t="array" ref="A102">INDEX(5,1)</f>
        <v>5</v>
      </c>
    </row>
    <row r="103" spans="1:2" x14ac:dyDescent="0.35">
      <c r="A103" cm="1">
        <f t="array" ref="A103">INDEX(table!A1:B8,1,1,1)</f>
        <v>10</v>
      </c>
    </row>
    <row r="104" spans="1:2" x14ac:dyDescent="0.35">
      <c r="A104" t="e" cm="1">
        <f t="array" ref="A104">INDEX(table!A1:B8,1,1,2)</f>
        <v>#REF!</v>
      </c>
    </row>
    <row r="105" spans="1:2" x14ac:dyDescent="0.35">
      <c r="A105" t="e" cm="1">
        <f t="array" ref="A105">INDEX(table!A1:B8,"x")</f>
        <v>#VALUE!</v>
      </c>
    </row>
    <row r="106" spans="1:2" x14ac:dyDescent="0.35">
      <c r="A106" cm="1">
        <f t="array" ref="A106:B106">INDEX(table!A1:B8,2,0)</f>
        <v>20</v>
      </c>
      <c r="B106" t="str">
        <v>r2</v>
      </c>
    </row>
    <row r="107" spans="1:2" x14ac:dyDescent="0.35">
      <c r="A107" t="e" cm="1" vm="2">
        <f t="array" aca="1" ref="A107" ca="1">INDEX(table!A1:A8,0)</f>
        <v>#VALUE!</v>
      </c>
    </row>
    <row r="108" spans="1:2" x14ac:dyDescent="0.35">
      <c r="A108">
        <f>IFERROR(VLOOKUP(31,table!A1:B8,2,FALSE),0)</f>
        <v>0</v>
      </c>
    </row>
    <row r="109" spans="1:2" x14ac:dyDescent="0.35">
      <c r="A109" t="str">
        <f>IFERROR(VLOOKUP(30,table!A1:B8,2,FALSE),0)</f>
        <v>r3</v>
      </c>
    </row>
    <row r="110" spans="1:2" x14ac:dyDescent="0.35">
      <c r="A110" t="e">
        <f>_xlfn.IFNA(1/0,2)</f>
        <v>#DIV/0!</v>
      </c>
    </row>
    <row r="111" spans="1:2" x14ac:dyDescent="0.35">
      <c r="A111">
        <f>IFERROR(1/0,2)</f>
        <v>2</v>
      </c>
    </row>
    <row r="112" spans="1:2" x14ac:dyDescent="0.35">
      <c r="A112">
        <f>_xlfn.IFNA(MATCH(31,table!A1:A8,0),-1)</f>
        <v>-1</v>
      </c>
    </row>
    <row r="113" spans="1:1" x14ac:dyDescent="0.35">
      <c r="A113" t="b">
        <f>ISNA(MATCH(31,table!A1:A8,0))</f>
        <v>1</v>
      </c>
    </row>
    <row r="114" spans="1:1" x14ac:dyDescent="0.35">
      <c r="A114" t="b">
        <f>ISERROR(table!A1)</f>
        <v>0</v>
      </c>
    </row>
    <row r="115" spans="1:1" x14ac:dyDescent="0.35">
      <c r="A115" t="b">
        <f>ISERROR(table!E5)</f>
        <v>1</v>
      </c>
    </row>
    <row r="116" spans="1:1" x14ac:dyDescent="0.35">
      <c r="A116" t="b">
        <f>ISNA(1/0)</f>
        <v>0</v>
      </c>
    </row>
    <row r="117" spans="1:1" x14ac:dyDescent="0.35">
      <c r="A117" t="b">
        <f>ISERROR(table!E4)</f>
        <v>0</v>
      </c>
    </row>
    <row r="118" spans="1:1" x14ac:dyDescent="0.35">
      <c r="A118" t="str">
        <f>IF(ISNA(MATCH(31,table!A1:A8,0)),"missing",MATCH(31,table!A1:A8,0))</f>
        <v>missing</v>
      </c>
    </row>
    <row r="119" spans="1:1" x14ac:dyDescent="0.35">
      <c r="A119">
        <f>IFERROR(1/0,)</f>
        <v>0</v>
      </c>
    </row>
    <row r="120" spans="1:1" x14ac:dyDescent="0.35">
      <c r="A120">
        <f>_xlfn.IFNA(table!A1,1)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/>
  </sheetViews>
  <sheetFormatPr defaultRowHeight="14.5" x14ac:dyDescent="0.35"/>
  <sheetData>
    <row r="1" spans="1:8" x14ac:dyDescent="0.35">
      <c r="A1">
        <v>10</v>
      </c>
      <c r="B1">
        <v>1</v>
      </c>
      <c r="C1">
        <v>1</v>
      </c>
      <c r="D1" t="s">
        <v>302</v>
      </c>
      <c r="E1">
        <f>0.1+0.2</f>
        <v>0.30000000000000004</v>
      </c>
      <c r="F1" t="s">
        <v>303</v>
      </c>
      <c r="H1">
        <f>COUNTIF(A1:A12,20)</f>
        <v>3</v>
      </c>
    </row>
    <row r="2" spans="1:8" x14ac:dyDescent="0.35">
      <c r="A2">
        <v>20</v>
      </c>
      <c r="B2">
        <v>2</v>
      </c>
      <c r="C2" t="e">
        <f>1/0</f>
        <v>#DIV/0!</v>
      </c>
      <c r="D2" t="s">
        <v>304</v>
      </c>
      <c r="F2" t="s">
        <v>305</v>
      </c>
      <c r="H2">
        <f>COUNTIF(A1:A12,"20")</f>
        <v>3</v>
      </c>
    </row>
    <row r="3" spans="1:8" x14ac:dyDescent="0.35">
      <c r="A3">
        <v>30</v>
      </c>
      <c r="B3">
        <v>3</v>
      </c>
      <c r="C3">
        <v>3</v>
      </c>
      <c r="D3" t="s">
        <v>302</v>
      </c>
      <c r="F3" t="s">
        <v>306</v>
      </c>
      <c r="H3">
        <f>COUNTIF(A1:A12,"=20")</f>
        <v>3</v>
      </c>
    </row>
    <row r="4" spans="1:8" x14ac:dyDescent="0.35">
      <c r="A4">
        <v>20</v>
      </c>
      <c r="B4">
        <v>4</v>
      </c>
      <c r="C4">
        <v>4</v>
      </c>
      <c r="D4" t="s">
        <v>304</v>
      </c>
      <c r="H4">
        <f>COUNTIF(A1:A12,"&lt;&gt;20")</f>
        <v>10</v>
      </c>
    </row>
    <row r="5" spans="1:8" x14ac:dyDescent="0.35">
      <c r="A5" t="s">
        <v>307</v>
      </c>
      <c r="B5">
        <v>5</v>
      </c>
      <c r="H5">
        <f>COUNTIF(A1:A12,"&gt;15")</f>
        <v>3</v>
      </c>
    </row>
    <row r="6" spans="1:8" x14ac:dyDescent="0.35">
      <c r="A6" t="s">
        <v>279</v>
      </c>
      <c r="B6">
        <v>6</v>
      </c>
      <c r="H6">
        <f>COUNTIF(A1:A12,"x")</f>
        <v>2</v>
      </c>
    </row>
    <row r="7" spans="1:8" x14ac:dyDescent="0.35">
      <c r="A7" t="s">
        <v>293</v>
      </c>
      <c r="B7">
        <v>7</v>
      </c>
      <c r="H7">
        <f>COUNTIF(A1:A12,"x*")</f>
        <v>2</v>
      </c>
    </row>
    <row r="8" spans="1:8" x14ac:dyDescent="0.35">
      <c r="A8" t="b">
        <f>TRUE</f>
        <v>1</v>
      </c>
      <c r="B8">
        <v>8</v>
      </c>
      <c r="H8">
        <f>COUNTIF(A1:A12,"?")</f>
        <v>2</v>
      </c>
    </row>
    <row r="9" spans="1:8" x14ac:dyDescent="0.35">
      <c r="B9">
        <v>9</v>
      </c>
      <c r="H9">
        <f>COUNTIF(A1:A12,"*")</f>
        <v>3</v>
      </c>
    </row>
    <row r="10" spans="1:8" x14ac:dyDescent="0.35">
      <c r="A10">
        <v>0</v>
      </c>
      <c r="B10">
        <v>10</v>
      </c>
      <c r="H10">
        <f>COUNTIF(A1:A12,"")</f>
        <v>1</v>
      </c>
    </row>
    <row r="11" spans="1:8" x14ac:dyDescent="0.35">
      <c r="A11">
        <v>0</v>
      </c>
      <c r="B11">
        <v>11</v>
      </c>
      <c r="H11">
        <f>COUNTIF(A1:A12,"&lt;&gt;")</f>
        <v>11</v>
      </c>
    </row>
    <row r="12" spans="1:8" x14ac:dyDescent="0.35">
      <c r="A12">
        <v>5</v>
      </c>
      <c r="B12">
        <v>12</v>
      </c>
      <c r="H12">
        <f>COUNTIF(A1:A12,TRUE)</f>
        <v>1</v>
      </c>
    </row>
    <row r="13" spans="1:8" x14ac:dyDescent="0.35">
      <c r="H13">
        <f>COUNTIF(A1:A12,"TRUE")</f>
        <v>1</v>
      </c>
    </row>
    <row r="14" spans="1:8" x14ac:dyDescent="0.35">
      <c r="H14">
        <f>COUNTIF(A1:A12,0)</f>
        <v>2</v>
      </c>
    </row>
    <row r="15" spans="1:8" x14ac:dyDescent="0.35">
      <c r="H15">
        <f>COUNTIF(A1:A12,A4)</f>
        <v>3</v>
      </c>
    </row>
    <row r="16" spans="1:8" x14ac:dyDescent="0.35">
      <c r="H16">
        <f>COUNTIF(A1:A12,A9)</f>
        <v>2</v>
      </c>
    </row>
    <row r="17" spans="8:8" x14ac:dyDescent="0.35">
      <c r="H17">
        <f>SUMIF(A1:A12,20,B1:B12)</f>
        <v>11</v>
      </c>
    </row>
    <row r="18" spans="8:8" x14ac:dyDescent="0.35">
      <c r="H18">
        <f>SUMIF(A1:A12,"&gt;15",B1:B12)</f>
        <v>9</v>
      </c>
    </row>
    <row r="19" spans="8:8" x14ac:dyDescent="0.35">
      <c r="H19">
        <f>SUMIF(A1:A12,"x*",B1:B12)</f>
        <v>13</v>
      </c>
    </row>
    <row r="20" spans="8:8" x14ac:dyDescent="0.35">
      <c r="H20">
        <f>SUMIF(A1:A12,"&lt;&gt;20",B1:B12)</f>
        <v>72</v>
      </c>
    </row>
    <row r="21" spans="8:8" x14ac:dyDescent="0.35">
      <c r="H21">
        <f>SUMIF(A1:A12,"",B1:B12)</f>
        <v>9</v>
      </c>
    </row>
    <row r="22" spans="8:8" x14ac:dyDescent="0.35">
      <c r="H22">
        <f>SUMIF(A1:A12,20)</f>
        <v>40</v>
      </c>
    </row>
    <row r="23" spans="8:8" x14ac:dyDescent="0.35">
      <c r="H23">
        <f>SUMIF(D1:D4,"a",C1:C4)</f>
        <v>4</v>
      </c>
    </row>
    <row r="24" spans="8:8" x14ac:dyDescent="0.35">
      <c r="H24" t="e">
        <f>SUMIF(D1:D4,"b",C1:C4)</f>
        <v>#DIV/0!</v>
      </c>
    </row>
    <row r="25" spans="8:8" x14ac:dyDescent="0.35">
      <c r="H25">
        <f>COUNTIF(C1:C4,1)</f>
        <v>1</v>
      </c>
    </row>
    <row r="26" spans="8:8" x14ac:dyDescent="0.35">
      <c r="H26">
        <f>COUNTIF(C1:C4,"#DIV/0!")</f>
        <v>1</v>
      </c>
    </row>
    <row r="27" spans="8:8" x14ac:dyDescent="0.35">
      <c r="H27">
        <f ca="1">SUMIF(A1:A12,20,B1)</f>
        <v>11</v>
      </c>
    </row>
    <row r="28" spans="8:8" x14ac:dyDescent="0.35">
      <c r="H28">
        <f>SUMIF(A1:A3,"&gt;15",B1:B12)</f>
        <v>5</v>
      </c>
    </row>
    <row r="29" spans="8:8" x14ac:dyDescent="0.35">
      <c r="H29" t="b">
        <f>F1=F2</f>
        <v>1</v>
      </c>
    </row>
    <row r="30" spans="8:8" x14ac:dyDescent="0.35">
      <c r="H30" t="b">
        <f>0.1+0.2=0.3</f>
        <v>1</v>
      </c>
    </row>
    <row r="31" spans="8:8" x14ac:dyDescent="0.35">
      <c r="H31" t="e">
        <f>MATCH(0.3,E1,0)</f>
        <v>#N/A</v>
      </c>
    </row>
    <row r="32" spans="8:8" x14ac:dyDescent="0.35">
      <c r="H32">
        <f>COUNTIF(E1,0.3)</f>
        <v>1</v>
      </c>
    </row>
    <row r="33" spans="8:8" x14ac:dyDescent="0.35">
      <c r="H33" t="e">
        <f>VLOOKUP(0.3,E1,1,FALSE)</f>
        <v>#N/A</v>
      </c>
    </row>
    <row r="34" spans="8:8" x14ac:dyDescent="0.35">
      <c r="H34">
        <f>COUNTIF(F1:F3,F2)</f>
        <v>2</v>
      </c>
    </row>
    <row r="35" spans="8:8" x14ac:dyDescent="0.35">
      <c r="H35">
        <f>MATCH(F2,F1:F3,0)</f>
        <v>1</v>
      </c>
    </row>
    <row r="36" spans="8:8" x14ac:dyDescent="0.35">
      <c r="H36">
        <f>SUMIF(F1:F3,F1,B1:B3)</f>
        <v>3</v>
      </c>
    </row>
    <row r="37" spans="8:8" x14ac:dyDescent="0.35">
      <c r="H37">
        <f>COUNTIF(A1:A12,"&lt;&gt;x")</f>
        <v>10</v>
      </c>
    </row>
    <row r="38" spans="8:8" x14ac:dyDescent="0.35">
      <c r="H38">
        <f>COUNTIF(A1:A12,"&lt;15")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table</vt:lpstr>
      <vt:lpstr>lookups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2026-10-19T16:38:58Z</dcterms:created>
  <dcterms:modified xsi:type="dcterms:W3CDTF">2026-10-19T16:39:06Z</dcterms:modified>
</cp:coreProperties>
</file>