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frazaro_1.xml" ContentType="application/vnd.openxmlformats-officedocument.spreadsheetml.worksheet+xml"/>
  <Override PartName="/xl/worksheets/frazaro_2.xml" ContentType="application/vnd.openxmlformats-officedocument.spreadsheetml.worksheet+xml"/>
  <Override PartName="/xl/worksheets/frazaro_3.xml" ContentType="application/vnd.openxmlformats-officedocument.spreadsheetml.worksheet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razaro" sheetId="1" r:id="rIdFrazaro1"/>
    <sheet name="data" sheetId="2" r:id="rIdFrazaro2"/>
    <sheet name="functions" sheetId="3" r:id="rIdFrazaro3"/>
  </sheets>
  <definedNames>
    <definedName name="Frazaro.Build">"Frazaro 0.10.1; sentences sha256:981B354418199D03A8FA01F3A69CF9360C401AD513CF1C59E94A1E20996A9F92 over 13057 non-whitespace bytes; prelude sha256:887F55C46AA71563EE5DE0F74E3D4DB1C0022986248AD1FBF8A7A63711AC508C over 27033 non-whitespace bytes; phrasebook 1 sha256:5E5FF4121AA83D783E926C1A78B8E8C7C45BFE1E1184340F8D93A0285DDCB949 over 167902 non-whitespace bytes"</definedName>
  </definedNames>
  <calcPr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4F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Frazaro1" Type="http://schemas.openxmlformats.org/officeDocument/2006/relationships/worksheet" Target="worksheets/frazaro_1.xml"/>
<Relationship Id="rIdFrazaro2" Type="http://schemas.openxmlformats.org/officeDocument/2006/relationships/worksheet" Target="worksheets/frazaro_2.xml"/>
<Relationship Id="rIdFrazaro3" Type="http://schemas.openxmlformats.org/officeDocument/2006/relationships/worksheet" Target="worksheets/frazaro_3.xml"/>
<Relationship Id="rIdFrazaroStyles" Type="http://schemas.openxmlformats.org/officeDocument/2006/relationships/styles" Target="styles.xml"/>
<Relationship Id="rIdFrazaroMetadata" Type="http://schemas.openxmlformats.org/officeDocument/2006/relationships/sheetMetadata" Target="metadata.xml"/>
</Relationships>

</file>

<file path=xl/worksheets/frazaro_1.xml><?xml version="1.0" encoding="utf-8"?>
<worksheet xmlns="http://schemas.openxmlformats.org/spreadsheetml/2006/main" xmlns:r="http://schemas.openxmlformats.org/officeDocument/2006/relationships">
  <dimension ref="B1:C256"/>
  <sheetViews>
    <sheetView showGridLines="0" tabSelected="1" workbookViewId="0">
      <selection activeCell="B1" sqref="B1"/>
    </sheetView>
  </sheetViews>
  <sheetFormatPr defaultRowHeight="15"/>
  <cols>
    <col min="1" max="1" width="0" hidden="1" customWidth="1"/>
    <col min="2" max="2" width="72.7109375" customWidth="1" style="1"/>
    <col min="3" max="3" width="60.7109375" customWidth="1" style="2"/>
  </cols>
  <sheetData>
    <row r="1">
      <c r="B1" s="1" t="inlineStr">
        <is>
          <t xml:space="preserve"># The arrays' fixture (KERNEL.8, slice f): a Data sheet of numbers in A1:A6 (unsorted, two alike), texts in B1:B5</t>
        </is>
      </c>
      <c r="C1" s="3" t="inlineStr">
        <is>
          <t xml:space="preserve">OK</t>
        </is>
      </c>
    </row>
    <row r="2">
      <c r="B2" s="1" t="inlineStr">
        <is>
          <t xml:space="preserve"># in two cases above an empty B6, numbers in C1:C6, a mixed column in D (a number, a text, a truth value, an empty</t>
        </is>
      </c>
      <c r="C2" s="3" t="inlineStr">
        <is>
          <t xml:space="preserve">OK</t>
        </is>
      </c>
    </row>
    <row r="3">
      <c r="B3" s="1" t="inlineStr">
        <is>
          <t xml:space="preserve"># cell, zero and a negative), a matrix of three rows and two columns in E1:F3 and a column of two in G1:G2, an error</t>
        </is>
      </c>
      <c r="C3" s="3" t="inlineStr">
        <is>
          <t xml:space="preserve">OK</t>
        </is>
      </c>
    </row>
    <row r="4">
      <c r="B4" s="1" t="inlineStr">
        <is>
          <t xml:space="preserve"># and a number in H1:H2, and 0.3 beside 0.1+0.2 in I1:I2; and a Functions sheet of one formula a rule from row 10:</t>
        </is>
      </c>
      <c r="C4" s="3" t="inlineStr">
        <is>
          <t xml:space="preserve">OK</t>
        </is>
      </c>
    </row>
    <row r="5">
      <c r="B5" s="1" t="inlineStr">
        <is>
          <t xml:space="preserve"># array constants and the lift of an operator and of a value parameter over them, in legacy formulas;</t>
        </is>
      </c>
      <c r="C5" s="3" t="inlineStr">
        <is>
          <t xml:space="preserve">OK</t>
        </is>
      </c>
    </row>
    <row r="6">
      <c r="B6" s="1" t="inlineStr">
        <is>
          <t xml:space="preserve"># SUMPRODUCT, ROWS and COLUMNS; SEQUENCE, FILTER, SORT, SORTBY, UNIQUE, TRANSPOSE and MMULT; the shapers</t>
        </is>
      </c>
      <c r="C6" s="3" t="inlineStr">
        <is>
          <t xml:space="preserve">OK</t>
        </is>
      </c>
    </row>
    <row r="7">
      <c r="B7" s="1" t="inlineStr">
        <is>
          <t xml:space="preserve"># CHOOSECOLS, CHOOSEROWS, TAKE, DROP, HSTACK, VSTACK, TOCOL, TOROW, WRAPROWS, WRAPCOLS and EXPAND; a range read</t>
        </is>
      </c>
      <c r="C7" s="3" t="inlineStr">
        <is>
          <t xml:space="preserve">OK</t>
        </is>
      </c>
    </row>
    <row r="8">
      <c r="B8" s="1" t="inlineStr">
        <is>
          <t xml:space="preserve"># whole in a dynamic formula (one calling an array function, as the build writes it); the lookups over arrays; `:`</t>
        </is>
      </c>
      <c r="C8" s="3" t="inlineStr">
        <is>
          <t xml:space="preserve">OK</t>
        </is>
      </c>
    </row>
    <row r="9">
      <c r="B9" s="1" t="inlineStr">
        <is>
          <t xml:space="preserve"># between expressions; empty cells in arrays, and the edges Excel's documentation is silent on. Two formulas in D1</t>
        </is>
      </c>
      <c r="C9" s="3" t="inlineStr">
        <is>
          <t xml:space="preserve">OK</t>
        </is>
      </c>
    </row>
    <row r="10">
      <c r="B10" s="1" t="inlineStr">
        <is>
          <t xml:space="preserve"># and G1 spill, room left beside them. Built by frazaro into arrays.xlsx (each value it computes held). The owner</t>
        </is>
      </c>
      <c r="C10" s="3" t="inlineStr">
        <is>
          <t xml:space="preserve">OK</t>
        </is>
      </c>
    </row>
    <row r="11">
      <c r="B11" s="1" t="inlineStr">
        <is>
          <t xml:space="preserve"># types three legacy array formulas into K1:K3 with Ctrl+Shift+Enter in Excel and saves it as arrays_saved.xlsx.</t>
        </is>
      </c>
      <c r="C11" s="3" t="inlineStr">
        <is>
          <t xml:space="preserve">OK</t>
        </is>
      </c>
    </row>
    <row r="13">
      <c r="B13" s="1" t="inlineStr">
        <is>
          <t xml:space="preserve">Work on sheet Data.</t>
        </is>
      </c>
      <c r="C13" s="3" t="inlineStr">
        <is>
          <t xml:space="preserve">OK</t>
        </is>
      </c>
    </row>
    <row r="14">
      <c r="B14" s="1" t="inlineStr">
        <is>
          <t xml:space="preserve">Put 3 into cell A1.</t>
        </is>
      </c>
      <c r="C14" s="3" t="inlineStr">
        <is>
          <t xml:space="preserve">OK</t>
        </is>
      </c>
    </row>
    <row r="15">
      <c r="B15" s="1" t="inlineStr">
        <is>
          <t xml:space="preserve">Put 1 into cell A2.</t>
        </is>
      </c>
      <c r="C15" s="3" t="inlineStr">
        <is>
          <t xml:space="preserve">OK</t>
        </is>
      </c>
    </row>
    <row r="16">
      <c r="B16" s="1" t="inlineStr">
        <is>
          <t xml:space="preserve">Put 4 into cell A3.</t>
        </is>
      </c>
      <c r="C16" s="3" t="inlineStr">
        <is>
          <t xml:space="preserve">OK</t>
        </is>
      </c>
    </row>
    <row r="17">
      <c r="B17" s="1" t="inlineStr">
        <is>
          <t xml:space="preserve">Put 1 into cell A4.</t>
        </is>
      </c>
      <c r="C17" s="3" t="inlineStr">
        <is>
          <t xml:space="preserve">OK</t>
        </is>
      </c>
    </row>
    <row r="18">
      <c r="B18" s="1" t="inlineStr">
        <is>
          <t xml:space="preserve">Put 5 into cell A5.</t>
        </is>
      </c>
      <c r="C18" s="3" t="inlineStr">
        <is>
          <t xml:space="preserve">OK</t>
        </is>
      </c>
    </row>
    <row r="19">
      <c r="B19" s="1" t="inlineStr">
        <is>
          <t xml:space="preserve">Put 9 into cell A6.</t>
        </is>
      </c>
      <c r="C19" s="3" t="inlineStr">
        <is>
          <t xml:space="preserve">OK</t>
        </is>
      </c>
    </row>
    <row r="20">
      <c r="B20" s="1" t="inlineStr">
        <is>
          <t xml:space="preserve">Put "pear" into cell B1.</t>
        </is>
      </c>
      <c r="C20" s="3" t="inlineStr">
        <is>
          <t xml:space="preserve">OK</t>
        </is>
      </c>
    </row>
    <row r="21">
      <c r="B21" s="1" t="inlineStr">
        <is>
          <t xml:space="preserve">Put "Apple" into cell B2.</t>
        </is>
      </c>
      <c r="C21" s="3" t="inlineStr">
        <is>
          <t xml:space="preserve">OK</t>
        </is>
      </c>
    </row>
    <row r="22">
      <c r="B22" s="1" t="inlineStr">
        <is>
          <t xml:space="preserve">Put "fig" into cell B3.</t>
        </is>
      </c>
      <c r="C22" s="3" t="inlineStr">
        <is>
          <t xml:space="preserve">OK</t>
        </is>
      </c>
    </row>
    <row r="23">
      <c r="B23" s="1" t="inlineStr">
        <is>
          <t xml:space="preserve">Put "apple" into cell B4.</t>
        </is>
      </c>
      <c r="C23" s="3" t="inlineStr">
        <is>
          <t xml:space="preserve">OK</t>
        </is>
      </c>
    </row>
    <row r="24">
      <c r="B24" s="1" t="inlineStr">
        <is>
          <t xml:space="preserve">Put "Date" into cell B5.</t>
        </is>
      </c>
      <c r="C24" s="3" t="inlineStr">
        <is>
          <t xml:space="preserve">OK</t>
        </is>
      </c>
    </row>
    <row r="25">
      <c r="B25" s="1" t="inlineStr">
        <is>
          <t xml:space="preserve">Put 10 into cell C1.</t>
        </is>
      </c>
      <c r="C25" s="3" t="inlineStr">
        <is>
          <t xml:space="preserve">OK</t>
        </is>
      </c>
    </row>
    <row r="26">
      <c r="B26" s="1" t="inlineStr">
        <is>
          <t xml:space="preserve">Put 20 into cell C2.</t>
        </is>
      </c>
      <c r="C26" s="3" t="inlineStr">
        <is>
          <t xml:space="preserve">OK</t>
        </is>
      </c>
    </row>
    <row r="27">
      <c r="B27" s="1" t="inlineStr">
        <is>
          <t xml:space="preserve">Put 30 into cell C3.</t>
        </is>
      </c>
      <c r="C27" s="3" t="inlineStr">
        <is>
          <t xml:space="preserve">OK</t>
        </is>
      </c>
    </row>
    <row r="28">
      <c r="B28" s="1" t="inlineStr">
        <is>
          <t xml:space="preserve">Put 40 into cell C4.</t>
        </is>
      </c>
      <c r="C28" s="3" t="inlineStr">
        <is>
          <t xml:space="preserve">OK</t>
        </is>
      </c>
    </row>
    <row r="29">
      <c r="B29" s="1" t="inlineStr">
        <is>
          <t xml:space="preserve">Put 50 into cell C5.</t>
        </is>
      </c>
      <c r="C29" s="3" t="inlineStr">
        <is>
          <t xml:space="preserve">OK</t>
        </is>
      </c>
    </row>
    <row r="30">
      <c r="B30" s="1" t="inlineStr">
        <is>
          <t xml:space="preserve">Put 60 into cell C6.</t>
        </is>
      </c>
      <c r="C30" s="3" t="inlineStr">
        <is>
          <t xml:space="preserve">OK</t>
        </is>
      </c>
    </row>
    <row r="31">
      <c r="B31" s="1" t="inlineStr">
        <is>
          <t xml:space="preserve">Put 2 into cell D1.</t>
        </is>
      </c>
      <c r="C31" s="3" t="inlineStr">
        <is>
          <t xml:space="preserve">OK</t>
        </is>
      </c>
    </row>
    <row r="32">
      <c r="B32" s="1" t="inlineStr">
        <is>
          <t xml:space="preserve">Put "x" into cell D2.</t>
        </is>
      </c>
      <c r="C32" s="3" t="inlineStr">
        <is>
          <t xml:space="preserve">OK</t>
        </is>
      </c>
    </row>
    <row r="33">
      <c r="B33" s="1" t="inlineStr">
        <is>
          <t xml:space="preserve">Put formula "=TRUE" into cell D3.</t>
        </is>
      </c>
      <c r="C33" s="3" t="inlineStr">
        <is>
          <t xml:space="preserve">OK</t>
        </is>
      </c>
    </row>
    <row r="34">
      <c r="B34" s="1" t="inlineStr">
        <is>
          <t xml:space="preserve">Put 0 into cell D5.</t>
        </is>
      </c>
      <c r="C34" s="3" t="inlineStr">
        <is>
          <t xml:space="preserve">OK</t>
        </is>
      </c>
    </row>
    <row r="35">
      <c r="B35" s="1" t="inlineStr">
        <is>
          <t xml:space="preserve">Put -1 into cell D6.</t>
        </is>
      </c>
      <c r="C35" s="3" t="inlineStr">
        <is>
          <t xml:space="preserve">OK</t>
        </is>
      </c>
    </row>
    <row r="36">
      <c r="B36" s="1" t="inlineStr">
        <is>
          <t xml:space="preserve">Put 1 into cell E1.</t>
        </is>
      </c>
      <c r="C36" s="3" t="inlineStr">
        <is>
          <t xml:space="preserve">OK</t>
        </is>
      </c>
    </row>
    <row r="37">
      <c r="B37" s="1" t="inlineStr">
        <is>
          <t xml:space="preserve">Put 2 into cell F1.</t>
        </is>
      </c>
      <c r="C37" s="3" t="inlineStr">
        <is>
          <t xml:space="preserve">OK</t>
        </is>
      </c>
    </row>
    <row r="38">
      <c r="B38" s="1" t="inlineStr">
        <is>
          <t xml:space="preserve">Put 3 into cell E2.</t>
        </is>
      </c>
      <c r="C38" s="3" t="inlineStr">
        <is>
          <t xml:space="preserve">OK</t>
        </is>
      </c>
    </row>
    <row r="39">
      <c r="B39" s="1" t="inlineStr">
        <is>
          <t xml:space="preserve">Put 4 into cell F2.</t>
        </is>
      </c>
      <c r="C39" s="3" t="inlineStr">
        <is>
          <t xml:space="preserve">OK</t>
        </is>
      </c>
    </row>
    <row r="40">
      <c r="B40" s="1" t="inlineStr">
        <is>
          <t xml:space="preserve">Put 5 into cell E3.</t>
        </is>
      </c>
      <c r="C40" s="3" t="inlineStr">
        <is>
          <t xml:space="preserve">OK</t>
        </is>
      </c>
    </row>
    <row r="41">
      <c r="B41" s="1" t="inlineStr">
        <is>
          <t xml:space="preserve">Put 6 into cell F3.</t>
        </is>
      </c>
      <c r="C41" s="3" t="inlineStr">
        <is>
          <t xml:space="preserve">OK</t>
        </is>
      </c>
    </row>
    <row r="42">
      <c r="B42" s="1" t="inlineStr">
        <is>
          <t xml:space="preserve">Put 7 into cell G1.</t>
        </is>
      </c>
      <c r="C42" s="3" t="inlineStr">
        <is>
          <t xml:space="preserve">OK</t>
        </is>
      </c>
    </row>
    <row r="43">
      <c r="B43" s="1" t="inlineStr">
        <is>
          <t xml:space="preserve">Put 8 into cell G2.</t>
        </is>
      </c>
      <c r="C43" s="3" t="inlineStr">
        <is>
          <t xml:space="preserve">OK</t>
        </is>
      </c>
    </row>
    <row r="44">
      <c r="B44" s="1" t="inlineStr">
        <is>
          <t xml:space="preserve">Put formula "=1/0" into cell H1.</t>
        </is>
      </c>
      <c r="C44" s="3" t="inlineStr">
        <is>
          <t xml:space="preserve">OK</t>
        </is>
      </c>
    </row>
    <row r="45">
      <c r="B45" s="1" t="inlineStr">
        <is>
          <t xml:space="preserve">Put 7 into cell H2.</t>
        </is>
      </c>
      <c r="C45" s="3" t="inlineStr">
        <is>
          <t xml:space="preserve">OK</t>
        </is>
      </c>
    </row>
    <row r="46">
      <c r="B46" s="1" t="inlineStr">
        <is>
          <t xml:space="preserve">Put 0.3 into cell I1.</t>
        </is>
      </c>
      <c r="C46" s="3" t="inlineStr">
        <is>
          <t xml:space="preserve">OK</t>
        </is>
      </c>
    </row>
    <row r="47">
      <c r="B47" s="1" t="inlineStr">
        <is>
          <t xml:space="preserve">Put formula "=0.1+0.2" into cell I2.</t>
        </is>
      </c>
      <c r="C47" s="3" t="inlineStr">
        <is>
          <t xml:space="preserve">OK</t>
        </is>
      </c>
    </row>
    <row r="49">
      <c r="B49" s="1" t="inlineStr">
        <is>
          <t xml:space="preserve">Work on sheet Functions.</t>
        </is>
      </c>
      <c r="C49" s="3" t="inlineStr">
        <is>
          <t xml:space="preserve">OK</t>
        </is>
      </c>
    </row>
    <row r="50">
      <c r="B50" s="1" t="inlineStr">
        <is>
          <t xml:space="preserve">Put formula "=SEQUENCE(2,2)" into cell D1.</t>
        </is>
      </c>
      <c r="C50" s="3" t="inlineStr">
        <is>
          <t xml:space="preserve">OK</t>
        </is>
      </c>
    </row>
    <row r="51">
      <c r="B51" s="1" t="inlineStr">
        <is>
          <t xml:space="preserve">Put formula "=FILTER(Data!A1:A6,Data!A1:A6&gt;4)" into cell G1.</t>
        </is>
      </c>
      <c r="C51" s="3" t="inlineStr">
        <is>
          <t xml:space="preserve">OK</t>
        </is>
      </c>
    </row>
    <row r="52">
      <c r="B52" s="1" t="inlineStr">
        <is>
          <t xml:space="preserve">Put formula "=SUM({1,2;3,4})" into cell A10.</t>
        </is>
      </c>
      <c r="C52" s="3" t="inlineStr">
        <is>
          <t xml:space="preserve">OK</t>
        </is>
      </c>
    </row>
    <row r="53">
      <c r="B53" s="1" t="inlineStr">
        <is>
          <t xml:space="preserve">Put formula "=SUM({1,""2"",TRUE})" into cell A11.</t>
        </is>
      </c>
      <c r="C53" s="3" t="inlineStr">
        <is>
          <t xml:space="preserve">OK</t>
        </is>
      </c>
    </row>
    <row r="54">
      <c r="B54" s="1" t="inlineStr">
        <is>
          <t xml:space="preserve">Put formula "=COUNTA({1,""a"",TRUE,#N/A})" into cell A12.</t>
        </is>
      </c>
      <c r="C54" s="3" t="inlineStr">
        <is>
          <t xml:space="preserve">OK</t>
        </is>
      </c>
    </row>
    <row r="55">
      <c r="B55" s="1" t="inlineStr">
        <is>
          <t xml:space="preserve">Put formula "=COUNT({1,""2"",TRUE})" into cell A13.</t>
        </is>
      </c>
      <c r="C55" s="3" t="inlineStr">
        <is>
          <t xml:space="preserve">OK</t>
        </is>
      </c>
    </row>
    <row r="56">
      <c r="B56" s="1" t="inlineStr">
        <is>
          <t xml:space="preserve">Put formula "=AVERAGE({1,2,3,4})" into cell A14.</t>
        </is>
      </c>
      <c r="C56" s="3" t="inlineStr">
        <is>
          <t xml:space="preserve">OK</t>
        </is>
      </c>
    </row>
    <row r="57">
      <c r="B57" s="1" t="inlineStr">
        <is>
          <t xml:space="preserve">Put formula "=MAX({-1,-5;3,0})" into cell A15.</t>
        </is>
      </c>
      <c r="C57" s="3" t="inlineStr">
        <is>
          <t xml:space="preserve">OK</t>
        </is>
      </c>
    </row>
    <row r="58">
      <c r="B58" s="1" t="inlineStr">
        <is>
          <t xml:space="preserve">Put formula "=AND({TRUE,1})" into cell A16.</t>
        </is>
      </c>
      <c r="C58" s="3" t="inlineStr">
        <is>
          <t xml:space="preserve">OK</t>
        </is>
      </c>
    </row>
    <row r="59">
      <c r="B59" s="1" t="inlineStr">
        <is>
          <t xml:space="preserve">Put formula "=OR({FALSE,0})" into cell A17.</t>
        </is>
      </c>
      <c r="C59" s="3" t="inlineStr">
        <is>
          <t xml:space="preserve">OK</t>
        </is>
      </c>
    </row>
    <row r="60">
      <c r="B60" s="1" t="inlineStr">
        <is>
          <t xml:space="preserve">Put formula "={1,2,3}" into cell A18.</t>
        </is>
      </c>
      <c r="C60" s="3" t="inlineStr">
        <is>
          <t xml:space="preserve">OK</t>
        </is>
      </c>
    </row>
    <row r="61">
      <c r="B61" s="1" t="inlineStr">
        <is>
          <t xml:space="preserve">Put formula "={-1,2}*2" into cell A19.</t>
        </is>
      </c>
      <c r="C61" s="3" t="inlineStr">
        <is>
          <t xml:space="preserve">OK</t>
        </is>
      </c>
    </row>
    <row r="62">
      <c r="B62" s="1" t="inlineStr">
        <is>
          <t xml:space="preserve">Put formula "=SUM({1,2,3}*{4,5,6})" into cell A20.</t>
        </is>
      </c>
      <c r="C62" s="3" t="inlineStr">
        <is>
          <t xml:space="preserve">OK</t>
        </is>
      </c>
    </row>
    <row r="63">
      <c r="B63" s="1" t="inlineStr">
        <is>
          <t xml:space="preserve">Put formula "=SUM({1,2,3}+{10;20})" into cell A21.</t>
        </is>
      </c>
      <c r="C63" s="3" t="inlineStr">
        <is>
          <t xml:space="preserve">OK</t>
        </is>
      </c>
    </row>
    <row r="64">
      <c r="B64" s="1" t="inlineStr">
        <is>
          <t xml:space="preserve">Put formula "=SUM({1,2,3}+{10,20})" into cell A22.</t>
        </is>
      </c>
      <c r="C64" s="3" t="inlineStr">
        <is>
          <t xml:space="preserve">OK</t>
        </is>
      </c>
    </row>
    <row r="65">
      <c r="B65" s="1" t="inlineStr">
        <is>
          <t xml:space="preserve">Put formula "=SUM(LEN({""a"",""bc"",""def""}))" into cell A23.</t>
        </is>
      </c>
      <c r="C65" s="3" t="inlineStr">
        <is>
          <t xml:space="preserve">OK</t>
        </is>
      </c>
    </row>
    <row r="66">
      <c r="B66" s="1" t="inlineStr">
        <is>
          <t xml:space="preserve">Put formula "=SUM(IF({TRUE,FALSE,TRUE},{1,2,3},{10,20,30}))" into cell A24.</t>
        </is>
      </c>
      <c r="C66" s="3" t="inlineStr">
        <is>
          <t xml:space="preserve">OK</t>
        </is>
      </c>
    </row>
    <row r="67">
      <c r="B67" s="1" t="inlineStr">
        <is>
          <t xml:space="preserve">Put formula "=SUM(IF({TRUE,FALSE,TRUE},{1,2},0))" into cell A25.</t>
        </is>
      </c>
      <c r="C67" s="3" t="inlineStr">
        <is>
          <t xml:space="preserve">OK</t>
        </is>
      </c>
    </row>
    <row r="68">
      <c r="B68" s="1" t="inlineStr">
        <is>
          <t xml:space="preserve">Put formula "=SUM(IF({FALSE,FALSE,FALSE},{1,2},5))" into cell A26.</t>
        </is>
      </c>
      <c r="C68" s="3" t="inlineStr">
        <is>
          <t xml:space="preserve">OK</t>
        </is>
      </c>
    </row>
    <row r="69">
      <c r="B69" s="1" t="inlineStr">
        <is>
          <t xml:space="preserve">Put formula "=SUM(CHOOSE({1,2},10,20))" into cell A27.</t>
        </is>
      </c>
      <c r="C69" s="3" t="inlineStr">
        <is>
          <t xml:space="preserve">OK</t>
        </is>
      </c>
    </row>
    <row r="70">
      <c r="B70" s="1" t="inlineStr">
        <is>
          <t xml:space="preserve">Put formula "=SUM(IFERROR({1,#N/A,3},0))" into cell A28.</t>
        </is>
      </c>
      <c r="C70" s="3" t="inlineStr">
        <is>
          <t xml:space="preserve">OK</t>
        </is>
      </c>
    </row>
    <row r="71">
      <c r="B71" s="1" t="inlineStr">
        <is>
          <t xml:space="preserve">Put formula "=SUM(IFERROR({1,2,3},{10,20}))" into cell A29.</t>
        </is>
      </c>
      <c r="C71" s="3" t="inlineStr">
        <is>
          <t xml:space="preserve">OK</t>
        </is>
      </c>
    </row>
    <row r="72">
      <c r="B72" s="1" t="inlineStr">
        <is>
          <t xml:space="preserve">Put formula "=SUM(ISNUMBER({1,""a"",TRUE})*1)" into cell A30.</t>
        </is>
      </c>
      <c r="C72" s="3" t="inlineStr">
        <is>
          <t xml:space="preserve">OK</t>
        </is>
      </c>
    </row>
    <row r="73">
      <c r="B73" s="1" t="inlineStr">
        <is>
          <t xml:space="preserve">Put formula "=SUM(COUNTIF(Data!A1:A6,{1,3}))" into cell A31.</t>
        </is>
      </c>
      <c r="C73" s="3" t="inlineStr">
        <is>
          <t xml:space="preserve">OK</t>
        </is>
      </c>
    </row>
    <row r="74">
      <c r="B74" s="1" t="inlineStr">
        <is>
          <t xml:space="preserve">Put formula "=SUM(SUMIF(Data!A1:A6,{1,5},Data!C1:C6))" into cell A32.</t>
        </is>
      </c>
      <c r="C74" s="3" t="inlineStr">
        <is>
          <t xml:space="preserve">OK</t>
        </is>
      </c>
    </row>
    <row r="75">
      <c r="B75" s="1" t="inlineStr">
        <is>
          <t xml:space="preserve">Put formula "=SUM(VLOOKUP(3,Data!A1:C6,{1,3},FALSE))" into cell A33.</t>
        </is>
      </c>
      <c r="C75" s="3" t="inlineStr">
        <is>
          <t xml:space="preserve">OK</t>
        </is>
      </c>
    </row>
    <row r="76">
      <c r="B76" s="1" t="inlineStr">
        <is>
          <t xml:space="preserve">Put formula "=MATCH(4,{3,1,4},0)" into cell A34.</t>
        </is>
      </c>
      <c r="C76" s="3" t="inlineStr">
        <is>
          <t xml:space="preserve">OK</t>
        </is>
      </c>
    </row>
    <row r="77">
      <c r="B77" s="1" t="inlineStr">
        <is>
          <t xml:space="preserve">Put formula "=SUM(-{1,2})" into cell A35.</t>
        </is>
      </c>
      <c r="C77" s="3" t="inlineStr">
        <is>
          <t xml:space="preserve">OK</t>
        </is>
      </c>
    </row>
    <row r="78">
      <c r="B78" s="1" t="inlineStr">
        <is>
          <t xml:space="preserve">Put formula "=SUM({50,150}%)" into cell A36.</t>
        </is>
      </c>
      <c r="C78" s="3" t="inlineStr">
        <is>
          <t xml:space="preserve">OK</t>
        </is>
      </c>
    </row>
    <row r="79">
      <c r="B79" s="1" t="inlineStr">
        <is>
          <t xml:space="preserve">Put formula "=SUM(({1,2,3}&gt;1)*1)" into cell A37.</t>
        </is>
      </c>
      <c r="C79" s="3" t="inlineStr">
        <is>
          <t xml:space="preserve">OK</t>
        </is>
      </c>
    </row>
    <row r="80">
      <c r="B80" s="1" t="inlineStr">
        <is>
          <t xml:space="preserve">Put formula "=SUMPRODUCT({1,2},{3,4})" into cell A38.</t>
        </is>
      </c>
      <c r="C80" s="3" t="inlineStr">
        <is>
          <t xml:space="preserve">OK</t>
        </is>
      </c>
    </row>
    <row r="81">
      <c r="B81" s="1" t="inlineStr">
        <is>
          <t xml:space="preserve">Put formula "=SUMPRODUCT(Data!A1:A6,Data!C1:C6)" into cell A39.</t>
        </is>
      </c>
      <c r="C81" s="3" t="inlineStr">
        <is>
          <t xml:space="preserve">OK</t>
        </is>
      </c>
    </row>
    <row r="82">
      <c r="B82" s="1" t="inlineStr">
        <is>
          <t xml:space="preserve">Put formula "=SUMPRODUCT(Data!A1:A6*Data!C1:C6)" into cell A40.</t>
        </is>
      </c>
      <c r="C82" s="3" t="inlineStr">
        <is>
          <t xml:space="preserve">OK</t>
        </is>
      </c>
    </row>
    <row r="83">
      <c r="B83" s="1" t="inlineStr">
        <is>
          <t xml:space="preserve">Put formula "=SUMPRODUCT((Data!A1:A6&gt;2)*Data!C1:C6)" into cell A41.</t>
        </is>
      </c>
      <c r="C83" s="3" t="inlineStr">
        <is>
          <t xml:space="preserve">OK</t>
        </is>
      </c>
    </row>
    <row r="84">
      <c r="B84" s="1" t="inlineStr">
        <is>
          <t xml:space="preserve">Put formula "=SUMPRODUCT(--(Data!A1:A6&gt;2))" into cell A42.</t>
        </is>
      </c>
      <c r="C84" s="3" t="inlineStr">
        <is>
          <t xml:space="preserve">OK</t>
        </is>
      </c>
    </row>
    <row r="85">
      <c r="B85" s="1" t="inlineStr">
        <is>
          <t xml:space="preserve">Put formula "=SUMPRODUCT((Data!A1:A6&gt;2)*1,Data!C1:C6)" into cell A43.</t>
        </is>
      </c>
      <c r="C85" s="3" t="inlineStr">
        <is>
          <t xml:space="preserve">OK</t>
        </is>
      </c>
    </row>
    <row r="86">
      <c r="B86" s="1" t="inlineStr">
        <is>
          <t xml:space="preserve">Put formula "=SUMPRODUCT(Data!A1:A6,Data!C1:C5)" into cell A44.</t>
        </is>
      </c>
      <c r="C86" s="3" t="inlineStr">
        <is>
          <t xml:space="preserve">OK</t>
        </is>
      </c>
    </row>
    <row r="87">
      <c r="B87" s="1" t="inlineStr">
        <is>
          <t xml:space="preserve">Put formula "=SUMPRODUCT({1,""a"",TRUE},{1,1,1})" into cell A45.</t>
        </is>
      </c>
      <c r="C87" s="3" t="inlineStr">
        <is>
          <t xml:space="preserve">OK</t>
        </is>
      </c>
    </row>
    <row r="88">
      <c r="B88" s="1" t="inlineStr">
        <is>
          <t xml:space="preserve">Put formula "=SUMPRODUCT(Data!D1:D6)" into cell A46.</t>
        </is>
      </c>
      <c r="C88" s="3" t="inlineStr">
        <is>
          <t xml:space="preserve">OK</t>
        </is>
      </c>
    </row>
    <row r="89">
      <c r="B89" s="1" t="inlineStr">
        <is>
          <t xml:space="preserve">Put formula "=SUMPRODUCT({1,2},{3,#N/A})" into cell A47.</t>
        </is>
      </c>
      <c r="C89" s="3" t="inlineStr">
        <is>
          <t xml:space="preserve">OK</t>
        </is>
      </c>
    </row>
    <row r="90">
      <c r="B90" s="1" t="inlineStr">
        <is>
          <t xml:space="preserve">Put formula "=SUMPRODUCT(ROW(Data!A1:A6)*Data!A1:A6)" into cell A48.</t>
        </is>
      </c>
      <c r="C90" s="3" t="inlineStr">
        <is>
          <t xml:space="preserve">OK</t>
        </is>
      </c>
    </row>
    <row r="91">
      <c r="B91" s="1" t="inlineStr">
        <is>
          <t xml:space="preserve">Put formula "=SUMPRODUCT(LEN(Data!B1:B6))" into cell A49.</t>
        </is>
      </c>
      <c r="C91" s="3" t="inlineStr">
        <is>
          <t xml:space="preserve">OK</t>
        </is>
      </c>
    </row>
    <row r="92">
      <c r="B92" s="1" t="inlineStr">
        <is>
          <t xml:space="preserve">Put formula "=SUMPRODUCT(5)" into cell A50.</t>
        </is>
      </c>
      <c r="C92" s="3" t="inlineStr">
        <is>
          <t xml:space="preserve">OK</t>
        </is>
      </c>
    </row>
    <row r="93">
      <c r="B93" s="1" t="inlineStr">
        <is>
          <t xml:space="preserve">Put formula "=SUMPRODUCT(""5"")" into cell A51.</t>
        </is>
      </c>
      <c r="C93" s="3" t="inlineStr">
        <is>
          <t xml:space="preserve">OK</t>
        </is>
      </c>
    </row>
    <row r="94">
      <c r="B94" s="1" t="inlineStr">
        <is>
          <t xml:space="preserve">Put formula "=ROWS({1,2;3,4;5,6})" into cell A52.</t>
        </is>
      </c>
      <c r="C94" s="3" t="inlineStr">
        <is>
          <t xml:space="preserve">OK</t>
        </is>
      </c>
    </row>
    <row r="95">
      <c r="B95" s="1" t="inlineStr">
        <is>
          <t xml:space="preserve">Put formula "=COLUMNS({1,2;3,4;5,6})" into cell A53.</t>
        </is>
      </c>
      <c r="C95" s="3" t="inlineStr">
        <is>
          <t xml:space="preserve">OK</t>
        </is>
      </c>
    </row>
    <row r="96">
      <c r="B96" s="1" t="inlineStr">
        <is>
          <t xml:space="preserve">Put formula "=ROWS(Data!A1:C6)" into cell A54.</t>
        </is>
      </c>
      <c r="C96" s="3" t="inlineStr">
        <is>
          <t xml:space="preserve">OK</t>
        </is>
      </c>
    </row>
    <row r="97">
      <c r="B97" s="1" t="inlineStr">
        <is>
          <t xml:space="preserve">Put formula "=COLUMNS(Data!A1:C6)" into cell A55.</t>
        </is>
      </c>
      <c r="C97" s="3" t="inlineStr">
        <is>
          <t xml:space="preserve">OK</t>
        </is>
      </c>
    </row>
    <row r="98">
      <c r="B98" s="1" t="inlineStr">
        <is>
          <t xml:space="preserve">Put formula "=ROWS(5)" into cell A56.</t>
        </is>
      </c>
      <c r="C98" s="3" t="inlineStr">
        <is>
          <t xml:space="preserve">OK</t>
        </is>
      </c>
    </row>
    <row r="99">
      <c r="B99" s="1" t="inlineStr">
        <is>
          <t xml:space="preserve">Put formula "=ROWS(Data!A1:A6*1)" into cell A57.</t>
        </is>
      </c>
      <c r="C99" s="3" t="inlineStr">
        <is>
          <t xml:space="preserve">OK</t>
        </is>
      </c>
    </row>
    <row r="100">
      <c r="B100" s="1" t="inlineStr">
        <is>
          <t xml:space="preserve">Put formula "=SUM(Data!A1:A6*Data!C1:C6)" into cell A58.</t>
        </is>
      </c>
      <c r="C100" s="3" t="inlineStr">
        <is>
          <t xml:space="preserve">OK</t>
        </is>
      </c>
    </row>
    <row r="101">
      <c r="B101" s="1" t="inlineStr">
        <is>
          <t xml:space="preserve">Put formula "=SUM(ROW(Data!A1:A6))" into cell A59.</t>
        </is>
      </c>
      <c r="C101" s="3" t="inlineStr">
        <is>
          <t xml:space="preserve">OK</t>
        </is>
      </c>
    </row>
    <row r="102">
      <c r="B102" s="1" t="inlineStr">
        <is>
          <t xml:space="preserve">Put formula "=SUM(SEQUENCE(4))" into cell A60.</t>
        </is>
      </c>
      <c r="C102" s="3" t="inlineStr">
        <is>
          <t xml:space="preserve">OK</t>
        </is>
      </c>
    </row>
    <row r="103">
      <c r="B103" s="1" t="inlineStr">
        <is>
          <t xml:space="preserve">Put formula "=SUM(SEQUENCE(2,3))" into cell A61.</t>
        </is>
      </c>
      <c r="C103" s="3" t="inlineStr">
        <is>
          <t xml:space="preserve">OK</t>
        </is>
      </c>
    </row>
    <row r="104">
      <c r="B104" s="1" t="inlineStr">
        <is>
          <t xml:space="preserve">Put formula "=SUM(SEQUENCE(3,1,10,5))" into cell A62.</t>
        </is>
      </c>
      <c r="C104" s="3" t="inlineStr">
        <is>
          <t xml:space="preserve">OK</t>
        </is>
      </c>
    </row>
    <row r="105">
      <c r="B105" s="1" t="inlineStr">
        <is>
          <t xml:space="preserve">Put formula "=SUM(SEQUENCE(5,1,0,0.1))" into cell A63.</t>
        </is>
      </c>
      <c r="C105" s="3" t="inlineStr">
        <is>
          <t xml:space="preserve">OK</t>
        </is>
      </c>
    </row>
    <row r="106">
      <c r="B106" s="1" t="inlineStr">
        <is>
          <t xml:space="preserve">Put formula "=SEQUENCE(0)" into cell A64.</t>
        </is>
      </c>
      <c r="C106" s="3" t="inlineStr">
        <is>
          <t xml:space="preserve">OK</t>
        </is>
      </c>
    </row>
    <row r="107">
      <c r="B107" s="1" t="inlineStr">
        <is>
          <t xml:space="preserve">Put formula "=SEQUENCE(-1)" into cell A65.</t>
        </is>
      </c>
      <c r="C107" s="3" t="inlineStr">
        <is>
          <t xml:space="preserve">OK</t>
        </is>
      </c>
    </row>
    <row r="108">
      <c r="B108" s="1" t="inlineStr">
        <is>
          <t xml:space="preserve">Put formula "=SUM(SEQUENCE(2.9))" into cell A66.</t>
        </is>
      </c>
      <c r="C108" s="3" t="inlineStr">
        <is>
          <t xml:space="preserve">OK</t>
        </is>
      </c>
    </row>
    <row r="109">
      <c r="B109" s="1" t="inlineStr">
        <is>
          <t xml:space="preserve">Put formula "=SEQUENCE(1,0)" into cell A67.</t>
        </is>
      </c>
      <c r="C109" s="3" t="inlineStr">
        <is>
          <t xml:space="preserve">OK</t>
        </is>
      </c>
    </row>
    <row r="110">
      <c r="B110" s="1" t="inlineStr">
        <is>
          <t xml:space="preserve">Put formula "=SUM(SEQUENCE(,3))" into cell A68.</t>
        </is>
      </c>
      <c r="C110" s="3" t="inlineStr">
        <is>
          <t xml:space="preserve">OK</t>
        </is>
      </c>
    </row>
    <row r="111">
      <c r="B111" s="1" t="inlineStr">
        <is>
          <t xml:space="preserve">Put formula "=INDEX(SEQUENCE(3,3),2,3)" into cell A69.</t>
        </is>
      </c>
      <c r="C111" s="3" t="inlineStr">
        <is>
          <t xml:space="preserve">OK</t>
        </is>
      </c>
    </row>
    <row r="112">
      <c r="B112" s="1" t="inlineStr">
        <is>
          <t xml:space="preserve">Put formula "=INDEX(SEQUENCE(2,2)*10,2,2)" into cell A70.</t>
        </is>
      </c>
      <c r="C112" s="3" t="inlineStr">
        <is>
          <t xml:space="preserve">OK</t>
        </is>
      </c>
    </row>
    <row r="113">
      <c r="B113" s="1" t="inlineStr">
        <is>
          <t xml:space="preserve">Put formula "=SUM(SEQUENCE(3)*{1;2;3})" into cell A71.</t>
        </is>
      </c>
      <c r="C113" s="3" t="inlineStr">
        <is>
          <t xml:space="preserve">OK</t>
        </is>
      </c>
    </row>
    <row r="114">
      <c r="B114" s="1" t="inlineStr">
        <is>
          <t xml:space="preserve">Put formula "=SUM(FILTER(Data!C1:C6,Data!A1:A6&gt;2))" into cell A72.</t>
        </is>
      </c>
      <c r="C114" s="3" t="inlineStr">
        <is>
          <t xml:space="preserve">OK</t>
        </is>
      </c>
    </row>
    <row r="115">
      <c r="B115" s="1" t="inlineStr">
        <is>
          <t xml:space="preserve">Put formula "=ROWS(FILTER(Data!A1:A6,Data!A1:A6=1))" into cell A73.</t>
        </is>
      </c>
      <c r="C115" s="3" t="inlineStr">
        <is>
          <t xml:space="preserve">OK</t>
        </is>
      </c>
    </row>
    <row r="116">
      <c r="B116" s="1" t="inlineStr">
        <is>
          <t xml:space="preserve">Put formula "=FILTER(Data!A1:A6,Data!A1:A6&gt;100)" into cell A74.</t>
        </is>
      </c>
      <c r="C116" s="3" t="inlineStr">
        <is>
          <t xml:space="preserve">OK</t>
        </is>
      </c>
    </row>
    <row r="117">
      <c r="B117" s="1" t="inlineStr">
        <is>
          <t xml:space="preserve">Put formula "=FILTER(Data!A1:A6,Data!A1:A6&gt;100,""none"")" into cell A75.</t>
        </is>
      </c>
      <c r="C117" s="3" t="inlineStr">
        <is>
          <t xml:space="preserve">OK</t>
        </is>
      </c>
    </row>
    <row r="118">
      <c r="B118" s="1" t="inlineStr">
        <is>
          <t xml:space="preserve">Put formula "=FILTER(Data!A1:A6,Data!A1:A6&gt;100,0)" into cell A76.</t>
        </is>
      </c>
      <c r="C118" s="3" t="inlineStr">
        <is>
          <t xml:space="preserve">OK</t>
        </is>
      </c>
    </row>
    <row r="119">
      <c r="B119" s="1" t="inlineStr">
        <is>
          <t xml:space="preserve">Put formula "=SUM(FILTER(Data!E1:F3,{TRUE,FALSE}))" into cell A77.</t>
        </is>
      </c>
      <c r="C119" s="3" t="inlineStr">
        <is>
          <t xml:space="preserve">OK</t>
        </is>
      </c>
    </row>
    <row r="120">
      <c r="B120" s="1" t="inlineStr">
        <is>
          <t xml:space="preserve">Put formula "=FILTER(Data!A1:A6,Data!A1:A5&gt;1)" into cell A78.</t>
        </is>
      </c>
      <c r="C120" s="3" t="inlineStr">
        <is>
          <t xml:space="preserve">OK</t>
        </is>
      </c>
    </row>
    <row r="121">
      <c r="B121" s="1" t="inlineStr">
        <is>
          <t xml:space="preserve">Put formula "=SUM(FILTER(Data!A1:A6,(Data!A1:A6&gt;1)*(Data!A1:A6&lt;5)))" into cell A79.</t>
        </is>
      </c>
      <c r="C121" s="3" t="inlineStr">
        <is>
          <t xml:space="preserve">OK</t>
        </is>
      </c>
    </row>
    <row r="122">
      <c r="B122" s="1" t="inlineStr">
        <is>
          <t xml:space="preserve">Put formula "=ROWS(FILTER(Data!A1:A6,Data!C1:C6))" into cell A80.</t>
        </is>
      </c>
      <c r="C122" s="3" t="inlineStr">
        <is>
          <t xml:space="preserve">OK</t>
        </is>
      </c>
    </row>
    <row r="123">
      <c r="B123" s="1" t="inlineStr">
        <is>
          <t xml:space="preserve">Put formula "=FILTER(Data!A1:A6,Data!B1:B6)" into cell A81.</t>
        </is>
      </c>
      <c r="C123" s="3" t="inlineStr">
        <is>
          <t xml:space="preserve">OK</t>
        </is>
      </c>
    </row>
    <row r="124">
      <c r="B124" s="1" t="inlineStr">
        <is>
          <t xml:space="preserve">Put formula "=COUNTA(FILTER(Data!B1:B6,Data!A1:A6&gt;0))" into cell A82.</t>
        </is>
      </c>
      <c r="C124" s="3" t="inlineStr">
        <is>
          <t xml:space="preserve">OK</t>
        </is>
      </c>
    </row>
    <row r="125">
      <c r="B125" s="1" t="inlineStr">
        <is>
          <t xml:space="preserve">Put formula "=SUM(ISBLANK(FILTER(Data!B1:B6,Data!A1:A6&gt;0))*1)" into cell A83.</t>
        </is>
      </c>
      <c r="C125" s="3" t="inlineStr">
        <is>
          <t xml:space="preserve">OK</t>
        </is>
      </c>
    </row>
    <row r="126">
      <c r="B126" s="1" t="inlineStr">
        <is>
          <t xml:space="preserve">Put formula "=TEXTJOIN("","",FALSE,FILTER(Data!B1:B6,Data!A1:A6&gt;0))" into cell A84.</t>
        </is>
      </c>
      <c r="C126" s="3" t="inlineStr">
        <is>
          <t xml:space="preserve">OK</t>
        </is>
      </c>
    </row>
    <row r="127">
      <c r="B127" s="1" t="inlineStr">
        <is>
          <t xml:space="preserve">Put formula "=INDEX(SORT(Data!A1:A6),1)" into cell A85.</t>
        </is>
      </c>
      <c r="C127" s="3" t="inlineStr">
        <is>
          <t xml:space="preserve">OK</t>
        </is>
      </c>
    </row>
    <row r="128">
      <c r="B128" s="1" t="inlineStr">
        <is>
          <t xml:space="preserve">Put formula "=INDEX(SORT(Data!A1:A6),6)" into cell A86.</t>
        </is>
      </c>
      <c r="C128" s="3" t="inlineStr">
        <is>
          <t xml:space="preserve">OK</t>
        </is>
      </c>
    </row>
    <row r="129">
      <c r="B129" s="1" t="inlineStr">
        <is>
          <t xml:space="preserve">Put formula "=INDEX(SORT(Data!A1:A6,1,-1),1)" into cell A87.</t>
        </is>
      </c>
      <c r="C129" s="3" t="inlineStr">
        <is>
          <t xml:space="preserve">OK</t>
        </is>
      </c>
    </row>
    <row r="130">
      <c r="B130" s="1" t="inlineStr">
        <is>
          <t xml:space="preserve">Put formula "=INDEX(SORT(Data!B1:B5),1)" into cell A88.</t>
        </is>
      </c>
      <c r="C130" s="3" t="inlineStr">
        <is>
          <t xml:space="preserve">OK</t>
        </is>
      </c>
    </row>
    <row r="131">
      <c r="B131" s="1" t="inlineStr">
        <is>
          <t xml:space="preserve">Put formula "=INDEX(SORT(Data!B1:B5),2)" into cell A89.</t>
        </is>
      </c>
      <c r="C131" s="3" t="inlineStr">
        <is>
          <t xml:space="preserve">OK</t>
        </is>
      </c>
    </row>
    <row r="132">
      <c r="B132" s="1" t="inlineStr">
        <is>
          <t xml:space="preserve">Put formula "=INDEX(SORT(Data!B1:B6),6)" into cell A90.</t>
        </is>
      </c>
      <c r="C132" s="3" t="inlineStr">
        <is>
          <t xml:space="preserve">OK</t>
        </is>
      </c>
    </row>
    <row r="133">
      <c r="B133" s="1" t="inlineStr">
        <is>
          <t xml:space="preserve">Put formula "=INDEX(SORT(Data!E1:F3,2,-1),1,1)" into cell A91.</t>
        </is>
      </c>
      <c r="C133" s="3" t="inlineStr">
        <is>
          <t xml:space="preserve">OK</t>
        </is>
      </c>
    </row>
    <row r="134">
      <c r="B134" s="1" t="inlineStr">
        <is>
          <t xml:space="preserve">Put formula "=INDEX(SORT(Data!E1:F3,1,1,TRUE),1,1)" into cell A92.</t>
        </is>
      </c>
      <c r="C134" s="3" t="inlineStr">
        <is>
          <t xml:space="preserve">OK</t>
        </is>
      </c>
    </row>
    <row r="135">
      <c r="B135" s="1" t="inlineStr">
        <is>
          <t xml:space="preserve">Put formula "=INDEX(SORT({3,1,2},1,1,TRUE),1)" into cell A93.</t>
        </is>
      </c>
      <c r="C135" s="3" t="inlineStr">
        <is>
          <t xml:space="preserve">OK</t>
        </is>
      </c>
    </row>
    <row r="136">
      <c r="B136" s="1" t="inlineStr">
        <is>
          <t xml:space="preserve">Put formula "=INDEX(SORT({""b"";""A"";""a"";""B""}),1)" into cell A94.</t>
        </is>
      </c>
      <c r="C136" s="3" t="inlineStr">
        <is>
          <t xml:space="preserve">OK</t>
        </is>
      </c>
    </row>
    <row r="137">
      <c r="B137" s="1" t="inlineStr">
        <is>
          <t xml:space="preserve">Put formula "=INDEX(SORT({2;""a"";TRUE;1}),3)" into cell A95.</t>
        </is>
      </c>
      <c r="C137" s="3" t="inlineStr">
        <is>
          <t xml:space="preserve">OK</t>
        </is>
      </c>
    </row>
    <row r="138">
      <c r="B138" s="1" t="inlineStr">
        <is>
          <t xml:space="preserve">Put formula "=INDEX(SORT({2;""a"";TRUE;1}),4)" into cell A96.</t>
        </is>
      </c>
      <c r="C138" s="3" t="inlineStr">
        <is>
          <t xml:space="preserve">OK</t>
        </is>
      </c>
    </row>
    <row r="139">
      <c r="B139" s="1" t="inlineStr">
        <is>
          <t xml:space="preserve">Put formula "=INDEX(SORT({2;""a"";TRUE;1},1,-1),1)" into cell A97.</t>
        </is>
      </c>
      <c r="C139" s="3" t="inlineStr">
        <is>
          <t xml:space="preserve">OK</t>
        </is>
      </c>
    </row>
    <row r="140">
      <c r="B140" s="1" t="inlineStr">
        <is>
          <t xml:space="preserve">Put formula "=INDEX(SORT({3;1;2},1,0),1)" into cell A98.</t>
        </is>
      </c>
      <c r="C140" s="3" t="inlineStr">
        <is>
          <t xml:space="preserve">OK</t>
        </is>
      </c>
    </row>
    <row r="141">
      <c r="B141" s="1" t="inlineStr">
        <is>
          <t xml:space="preserve">Put formula "=INDEX(SORT({3;1;2},2),1)" into cell A99.</t>
        </is>
      </c>
      <c r="C141" s="3" t="inlineStr">
        <is>
          <t xml:space="preserve">OK</t>
        </is>
      </c>
    </row>
    <row r="142">
      <c r="B142" s="1" t="inlineStr">
        <is>
          <t xml:space="preserve">Put formula "=INDEX(SORT(Data!E1:F3,{2,1},{-1,1}),1,2)" into cell A100.</t>
        </is>
      </c>
      <c r="C142" s="3" t="inlineStr">
        <is>
          <t xml:space="preserve">OK</t>
        </is>
      </c>
    </row>
    <row r="143">
      <c r="B143" s="1" t="inlineStr">
        <is>
          <t xml:space="preserve">Put formula "=INDEX(SORTBY(Data!B1:B5,Data!A1:A5),1)" into cell A101.</t>
        </is>
      </c>
      <c r="C143" s="3" t="inlineStr">
        <is>
          <t xml:space="preserve">OK</t>
        </is>
      </c>
    </row>
    <row r="144">
      <c r="B144" s="1" t="inlineStr">
        <is>
          <t xml:space="preserve">Put formula "=INDEX(SORTBY(Data!B1:B5,Data!A1:A5,-1),1)" into cell A102.</t>
        </is>
      </c>
      <c r="C144" s="3" t="inlineStr">
        <is>
          <t xml:space="preserve">OK</t>
        </is>
      </c>
    </row>
    <row r="145">
      <c r="B145" s="1" t="inlineStr">
        <is>
          <t xml:space="preserve">Put formula "=INDEX(SORTBY(Data!C1:C6,Data!A1:A6,1,Data!C1:C6,-1),1)" into cell A103.</t>
        </is>
      </c>
      <c r="C145" s="3" t="inlineStr">
        <is>
          <t xml:space="preserve">OK</t>
        </is>
      </c>
    </row>
    <row r="146">
      <c r="B146" s="1" t="inlineStr">
        <is>
          <t xml:space="preserve">Put formula "=SORTBY(Data!A1:A6,Data!A1:A5)" into cell A104.</t>
        </is>
      </c>
      <c r="C146" s="3" t="inlineStr">
        <is>
          <t xml:space="preserve">OK</t>
        </is>
      </c>
    </row>
    <row r="147">
      <c r="B147" s="1" t="inlineStr">
        <is>
          <t xml:space="preserve">Put formula "=TEXTJOIN("","",TRUE,SORT(Data!B1:B5))" into cell A105.</t>
        </is>
      </c>
      <c r="C147" s="3" t="inlineStr">
        <is>
          <t xml:space="preserve">OK</t>
        </is>
      </c>
    </row>
    <row r="148">
      <c r="B148" s="1" t="inlineStr">
        <is>
          <t xml:space="preserve">Put formula "=ROWS(UNIQUE(Data!A1:A6))" into cell A106.</t>
        </is>
      </c>
      <c r="C148" s="3" t="inlineStr">
        <is>
          <t xml:space="preserve">OK</t>
        </is>
      </c>
    </row>
    <row r="149">
      <c r="B149" s="1" t="inlineStr">
        <is>
          <t xml:space="preserve">Put formula "=ROWS(UNIQUE(Data!A1:A6,FALSE,TRUE))" into cell A107.</t>
        </is>
      </c>
      <c r="C149" s="3" t="inlineStr">
        <is>
          <t xml:space="preserve">OK</t>
        </is>
      </c>
    </row>
    <row r="150">
      <c r="B150" s="1" t="inlineStr">
        <is>
          <t xml:space="preserve">Put formula "=ROWS(UNIQUE(Data!B1:B5))" into cell A108.</t>
        </is>
      </c>
      <c r="C150" s="3" t="inlineStr">
        <is>
          <t xml:space="preserve">OK</t>
        </is>
      </c>
    </row>
    <row r="151">
      <c r="B151" s="1" t="inlineStr">
        <is>
          <t xml:space="preserve">Put formula "=INDEX(UNIQUE(Data!B1:B5),2)" into cell A109.</t>
        </is>
      </c>
      <c r="C151" s="3" t="inlineStr">
        <is>
          <t xml:space="preserve">OK</t>
        </is>
      </c>
    </row>
    <row r="152">
      <c r="B152" s="1" t="inlineStr">
        <is>
          <t xml:space="preserve">Put formula "=COLUMNS(UNIQUE({1,1,2},TRUE))" into cell A110.</t>
        </is>
      </c>
      <c r="C152" s="3" t="inlineStr">
        <is>
          <t xml:space="preserve">OK</t>
        </is>
      </c>
    </row>
    <row r="153">
      <c r="B153" s="1" t="inlineStr">
        <is>
          <t xml:space="preserve">Put formula "=UNIQUE({1;1},FALSE,TRUE)" into cell A111.</t>
        </is>
      </c>
      <c r="C153" s="3" t="inlineStr">
        <is>
          <t xml:space="preserve">OK</t>
        </is>
      </c>
    </row>
    <row r="154">
      <c r="B154" s="1" t="inlineStr">
        <is>
          <t xml:space="preserve">Put formula "=ROWS(UNIQUE(Data!B1:B6))" into cell A112.</t>
        </is>
      </c>
      <c r="C154" s="3" t="inlineStr">
        <is>
          <t xml:space="preserve">OK</t>
        </is>
      </c>
    </row>
    <row r="155">
      <c r="B155" s="1" t="inlineStr">
        <is>
          <t xml:space="preserve">Put formula "=ROWS(UNIQUE(Data!I1:I2))" into cell A113.</t>
        </is>
      </c>
      <c r="C155" s="3" t="inlineStr">
        <is>
          <t xml:space="preserve">OK</t>
        </is>
      </c>
    </row>
    <row r="156">
      <c r="B156" s="1" t="inlineStr">
        <is>
          <t xml:space="preserve">Put formula "=INDEX(TRANSPOSE(Data!E1:F3),2,3)" into cell A114.</t>
        </is>
      </c>
      <c r="C156" s="3" t="inlineStr">
        <is>
          <t xml:space="preserve">OK</t>
        </is>
      </c>
    </row>
    <row r="157">
      <c r="B157" s="1" t="inlineStr">
        <is>
          <t xml:space="preserve">Put formula "=ROWS(TRANSPOSE(Data!A1:A6))" into cell A115.</t>
        </is>
      </c>
      <c r="C157" s="3" t="inlineStr">
        <is>
          <t xml:space="preserve">OK</t>
        </is>
      </c>
    </row>
    <row r="158">
      <c r="B158" s="1" t="inlineStr">
        <is>
          <t xml:space="preserve">Put formula "=COLUMNS(TRANSPOSE(Data!A1:A6))" into cell A116.</t>
        </is>
      </c>
      <c r="C158" s="3" t="inlineStr">
        <is>
          <t xml:space="preserve">OK</t>
        </is>
      </c>
    </row>
    <row r="159">
      <c r="B159" s="1" t="inlineStr">
        <is>
          <t xml:space="preserve">Put formula "=SUM(TRANSPOSE(Data!A1:A6)*{1,1,1,1,1,1})" into cell A117.</t>
        </is>
      </c>
      <c r="C159" s="3" t="inlineStr">
        <is>
          <t xml:space="preserve">OK</t>
        </is>
      </c>
    </row>
    <row r="160">
      <c r="B160" s="1" t="inlineStr">
        <is>
          <t xml:space="preserve">Put formula "=INDEX(TRANSPOSE(Data!B1:B6),1,6)" into cell A118.</t>
        </is>
      </c>
      <c r="C160" s="3" t="inlineStr">
        <is>
          <t xml:space="preserve">OK</t>
        </is>
      </c>
    </row>
    <row r="161">
      <c r="B161" s="1" t="inlineStr">
        <is>
          <t xml:space="preserve">Put formula "=COUNTA(TRANSPOSE(Data!B1:B6))" into cell A119.</t>
        </is>
      </c>
      <c r="C161" s="3" t="inlineStr">
        <is>
          <t xml:space="preserve">OK</t>
        </is>
      </c>
    </row>
    <row r="162">
      <c r="B162" s="1" t="inlineStr">
        <is>
          <t xml:space="preserve">Put formula "=INDEX(MMULT(Data!E1:F3,{1;1}),3,1)" into cell A120.</t>
        </is>
      </c>
      <c r="C162" s="3" t="inlineStr">
        <is>
          <t xml:space="preserve">OK</t>
        </is>
      </c>
    </row>
    <row r="163">
      <c r="B163" s="1" t="inlineStr">
        <is>
          <t xml:space="preserve">Put formula "=INDEX(MMULT({1,2},{3;4}),1,1)" into cell A121.</t>
        </is>
      </c>
      <c r="C163" s="3" t="inlineStr">
        <is>
          <t xml:space="preserve">OK</t>
        </is>
      </c>
    </row>
    <row r="164">
      <c r="B164" s="1" t="inlineStr">
        <is>
          <t xml:space="preserve">Put formula "=MMULT({1,2},{3,4})" into cell A122.</t>
        </is>
      </c>
      <c r="C164" s="3" t="inlineStr">
        <is>
          <t xml:space="preserve">OK</t>
        </is>
      </c>
    </row>
    <row r="165">
      <c r="B165" s="1" t="inlineStr">
        <is>
          <t xml:space="preserve">Put formula "=MMULT({1,""a""},{1;1})" into cell A123.</t>
        </is>
      </c>
      <c r="C165" s="3" t="inlineStr">
        <is>
          <t xml:space="preserve">OK</t>
        </is>
      </c>
    </row>
    <row r="166">
      <c r="B166" s="1" t="inlineStr">
        <is>
          <t xml:space="preserve">Put formula "=MMULT({1,#N/A},{1;1})" into cell A124.</t>
        </is>
      </c>
      <c r="C166" s="3" t="inlineStr">
        <is>
          <t xml:space="preserve">OK</t>
        </is>
      </c>
    </row>
    <row r="167">
      <c r="B167" s="1" t="inlineStr">
        <is>
          <t xml:space="preserve">Put formula "=SUM(MMULT(Data!E1:F3,Data!G1:G2))" into cell A125.</t>
        </is>
      </c>
      <c r="C167" s="3" t="inlineStr">
        <is>
          <t xml:space="preserve">OK</t>
        </is>
      </c>
    </row>
    <row r="168">
      <c r="B168" s="1" t="inlineStr">
        <is>
          <t xml:space="preserve">Put formula "=INDEX(CHOOSECOLS(Data!E1:F3,2),3)" into cell A126.</t>
        </is>
      </c>
      <c r="C168" s="3" t="inlineStr">
        <is>
          <t xml:space="preserve">OK</t>
        </is>
      </c>
    </row>
    <row r="169">
      <c r="B169" s="1" t="inlineStr">
        <is>
          <t xml:space="preserve">Put formula "=INDEX(CHOOSECOLS(Data!E1:F3,-1,1),1,2)" into cell A127.</t>
        </is>
      </c>
      <c r="C169" s="3" t="inlineStr">
        <is>
          <t xml:space="preserve">OK</t>
        </is>
      </c>
    </row>
    <row r="170">
      <c r="B170" s="1" t="inlineStr">
        <is>
          <t xml:space="preserve">Put formula "=CHOOSECOLS(Data!E1:F3,3)" into cell A128.</t>
        </is>
      </c>
      <c r="C170" s="3" t="inlineStr">
        <is>
          <t xml:space="preserve">OK</t>
        </is>
      </c>
    </row>
    <row r="171">
      <c r="B171" s="1" t="inlineStr">
        <is>
          <t xml:space="preserve">Put formula "=CHOOSECOLS(Data!E1:F3,0)" into cell A129.</t>
        </is>
      </c>
      <c r="C171" s="3" t="inlineStr">
        <is>
          <t xml:space="preserve">OK</t>
        </is>
      </c>
    </row>
    <row r="172">
      <c r="B172" s="1" t="inlineStr">
        <is>
          <t xml:space="preserve">Put formula "=SUM(CHOOSEROWS(Data!A1:A6,{1,6}))" into cell A130.</t>
        </is>
      </c>
      <c r="C172" s="3" t="inlineStr">
        <is>
          <t xml:space="preserve">OK</t>
        </is>
      </c>
    </row>
    <row r="173">
      <c r="B173" s="1" t="inlineStr">
        <is>
          <t xml:space="preserve">Put formula "=INDEX(CHOOSEROWS(Data!E1:F3,-1),1,1)" into cell A131.</t>
        </is>
      </c>
      <c r="C173" s="3" t="inlineStr">
        <is>
          <t xml:space="preserve">OK</t>
        </is>
      </c>
    </row>
    <row r="174">
      <c r="B174" s="1" t="inlineStr">
        <is>
          <t xml:space="preserve">Put formula "=SUM(TAKE(Data!A1:A6,2))" into cell A132.</t>
        </is>
      </c>
      <c r="C174" s="3" t="inlineStr">
        <is>
          <t xml:space="preserve">OK</t>
        </is>
      </c>
    </row>
    <row r="175">
      <c r="B175" s="1" t="inlineStr">
        <is>
          <t xml:space="preserve">Put formula "=SUM(TAKE(Data!A1:A6,-2))" into cell A133.</t>
        </is>
      </c>
      <c r="C175" s="3" t="inlineStr">
        <is>
          <t xml:space="preserve">OK</t>
        </is>
      </c>
    </row>
    <row r="176">
      <c r="B176" s="1" t="inlineStr">
        <is>
          <t xml:space="preserve">Put formula "=SUM(TAKE(Data!E1:F3,2,1))" into cell A134.</t>
        </is>
      </c>
      <c r="C176" s="3" t="inlineStr">
        <is>
          <t xml:space="preserve">OK</t>
        </is>
      </c>
    </row>
    <row r="177">
      <c r="B177" s="1" t="inlineStr">
        <is>
          <t xml:space="preserve">Put formula "=SUM(TAKE(Data!A1:A6,10))" into cell A135.</t>
        </is>
      </c>
      <c r="C177" s="3" t="inlineStr">
        <is>
          <t xml:space="preserve">OK</t>
        </is>
      </c>
    </row>
    <row r="178">
      <c r="B178" s="1" t="inlineStr">
        <is>
          <t xml:space="preserve">Put formula "=TAKE(Data!A1:A6,0)" into cell A136.</t>
        </is>
      </c>
      <c r="C178" s="3" t="inlineStr">
        <is>
          <t xml:space="preserve">OK</t>
        </is>
      </c>
    </row>
    <row r="179">
      <c r="B179" s="1" t="inlineStr">
        <is>
          <t xml:space="preserve">Put formula "=SUM(DROP(Data!A1:A6,2))" into cell A137.</t>
        </is>
      </c>
      <c r="C179" s="3" t="inlineStr">
        <is>
          <t xml:space="preserve">OK</t>
        </is>
      </c>
    </row>
    <row r="180">
      <c r="B180" s="1" t="inlineStr">
        <is>
          <t xml:space="preserve">Put formula "=SUM(DROP(Data!A1:A6,-2))" into cell A138.</t>
        </is>
      </c>
      <c r="C180" s="3" t="inlineStr">
        <is>
          <t xml:space="preserve">OK</t>
        </is>
      </c>
    </row>
    <row r="181">
      <c r="B181" s="1" t="inlineStr">
        <is>
          <t xml:space="preserve">Put formula "=DROP(Data!A1:A6,6)" into cell A139.</t>
        </is>
      </c>
      <c r="C181" s="3" t="inlineStr">
        <is>
          <t xml:space="preserve">OK</t>
        </is>
      </c>
    </row>
    <row r="182">
      <c r="B182" s="1" t="inlineStr">
        <is>
          <t xml:space="preserve">Put formula "=SUM(DROP(Data!E1:F3,1,1))" into cell A140.</t>
        </is>
      </c>
      <c r="C182" s="3" t="inlineStr">
        <is>
          <t xml:space="preserve">OK</t>
        </is>
      </c>
    </row>
    <row r="183">
      <c r="B183" s="1" t="inlineStr">
        <is>
          <t xml:space="preserve">Put formula "=COLUMNS(HSTACK(Data!A1:A6,Data!E1:F3))" into cell A141.</t>
        </is>
      </c>
      <c r="C183" s="3" t="inlineStr">
        <is>
          <t xml:space="preserve">OK</t>
        </is>
      </c>
    </row>
    <row r="184">
      <c r="B184" s="1" t="inlineStr">
        <is>
          <t xml:space="preserve">Put formula "=ROWS(HSTACK(Data!A1:A6,Data!E1:F3))" into cell A142.</t>
        </is>
      </c>
      <c r="C184" s="3" t="inlineStr">
        <is>
          <t xml:space="preserve">OK</t>
        </is>
      </c>
    </row>
    <row r="185">
      <c r="B185" s="1" t="inlineStr">
        <is>
          <t xml:space="preserve">Put formula "=INDEX(HSTACK(Data!A1:A6,Data!E1:F3),6,2)" into cell A143.</t>
        </is>
      </c>
      <c r="C185" s="3" t="inlineStr">
        <is>
          <t xml:space="preserve">OK</t>
        </is>
      </c>
    </row>
    <row r="186">
      <c r="B186" s="1" t="inlineStr">
        <is>
          <t xml:space="preserve">Put formula "=INDEX(HSTACK(1,2),1,2)" into cell A144.</t>
        </is>
      </c>
      <c r="C186" s="3" t="inlineStr">
        <is>
          <t xml:space="preserve">OK</t>
        </is>
      </c>
    </row>
    <row r="187">
      <c r="B187" s="1" t="inlineStr">
        <is>
          <t xml:space="preserve">Put formula "=ROWS(VSTACK(Data!A1:A6,Data!E1:F3))" into cell A145.</t>
        </is>
      </c>
      <c r="C187" s="3" t="inlineStr">
        <is>
          <t xml:space="preserve">OK</t>
        </is>
      </c>
    </row>
    <row r="188">
      <c r="B188" s="1" t="inlineStr">
        <is>
          <t xml:space="preserve">Put formula "=INDEX(VSTACK(Data!A1:A6,Data!E1:F3),1,2)" into cell A146.</t>
        </is>
      </c>
      <c r="C188" s="3" t="inlineStr">
        <is>
          <t xml:space="preserve">OK</t>
        </is>
      </c>
    </row>
    <row r="189">
      <c r="B189" s="1" t="inlineStr">
        <is>
          <t xml:space="preserve">Put formula "=INDEX(VSTACK({1,2},{3}),2,2)" into cell A147.</t>
        </is>
      </c>
      <c r="C189" s="3" t="inlineStr">
        <is>
          <t xml:space="preserve">OK</t>
        </is>
      </c>
    </row>
    <row r="190">
      <c r="B190" s="1" t="inlineStr">
        <is>
          <t xml:space="preserve">Put formula "=ROWS(TOCOL(Data!E1:F3))" into cell A148.</t>
        </is>
      </c>
      <c r="C190" s="3" t="inlineStr">
        <is>
          <t xml:space="preserve">OK</t>
        </is>
      </c>
    </row>
    <row r="191">
      <c r="B191" s="1" t="inlineStr">
        <is>
          <t xml:space="preserve">Put formula "=INDEX(TOCOL(Data!E1:F3),2)" into cell A149.</t>
        </is>
      </c>
      <c r="C191" s="3" t="inlineStr">
        <is>
          <t xml:space="preserve">OK</t>
        </is>
      </c>
    </row>
    <row r="192">
      <c r="B192" s="1" t="inlineStr">
        <is>
          <t xml:space="preserve">Put formula "=INDEX(TOCOL(Data!E1:F3,0,TRUE),2)" into cell A150.</t>
        </is>
      </c>
      <c r="C192" s="3" t="inlineStr">
        <is>
          <t xml:space="preserve">OK</t>
        </is>
      </c>
    </row>
    <row r="193">
      <c r="B193" s="1" t="inlineStr">
        <is>
          <t xml:space="preserve">Put formula "=ROWS(TOCOL(Data!B1:B6,1))" into cell A151.</t>
        </is>
      </c>
      <c r="C193" s="3" t="inlineStr">
        <is>
          <t xml:space="preserve">OK</t>
        </is>
      </c>
    </row>
    <row r="194">
      <c r="B194" s="1" t="inlineStr">
        <is>
          <t xml:space="preserve">Put formula "=ROWS(TOCOL(Data!H1:H2,2))" into cell A152.</t>
        </is>
      </c>
      <c r="C194" s="3" t="inlineStr">
        <is>
          <t xml:space="preserve">OK</t>
        </is>
      </c>
    </row>
    <row r="195">
      <c r="B195" s="1" t="inlineStr">
        <is>
          <t xml:space="preserve">Put formula "=TOCOL(Data!B6,1)" into cell A153.</t>
        </is>
      </c>
      <c r="C195" s="3" t="inlineStr">
        <is>
          <t xml:space="preserve">OK</t>
        </is>
      </c>
    </row>
    <row r="196">
      <c r="B196" s="1" t="inlineStr">
        <is>
          <t xml:space="preserve">Put formula "=COLUMNS(TOROW(Data!E1:F3))" into cell A154.</t>
        </is>
      </c>
      <c r="C196" s="3" t="inlineStr">
        <is>
          <t xml:space="preserve">OK</t>
        </is>
      </c>
    </row>
    <row r="197">
      <c r="B197" s="1" t="inlineStr">
        <is>
          <t xml:space="preserve">Put formula "=INDEX(TOROW(Data!E1:F3),1,3)" into cell A155.</t>
        </is>
      </c>
      <c r="C197" s="3" t="inlineStr">
        <is>
          <t xml:space="preserve">OK</t>
        </is>
      </c>
    </row>
    <row r="198">
      <c r="B198" s="1" t="inlineStr">
        <is>
          <t xml:space="preserve">Put formula "=INDEX(WRAPROWS(Data!A1:A6,4),2,3)" into cell A156.</t>
        </is>
      </c>
      <c r="C198" s="3" t="inlineStr">
        <is>
          <t xml:space="preserve">OK</t>
        </is>
      </c>
    </row>
    <row r="199">
      <c r="B199" s="1" t="inlineStr">
        <is>
          <t xml:space="preserve">Put formula "=INDEX(WRAPROWS(Data!A1:A6,4,0),2,3)" into cell A157.</t>
        </is>
      </c>
      <c r="C199" s="3" t="inlineStr">
        <is>
          <t xml:space="preserve">OK</t>
        </is>
      </c>
    </row>
    <row r="200">
      <c r="B200" s="1" t="inlineStr">
        <is>
          <t xml:space="preserve">Put formula "=WRAPROWS(Data!E1:F3,2)" into cell A158.</t>
        </is>
      </c>
      <c r="C200" s="3" t="inlineStr">
        <is>
          <t xml:space="preserve">OK</t>
        </is>
      </c>
    </row>
    <row r="201">
      <c r="B201" s="1" t="inlineStr">
        <is>
          <t xml:space="preserve">Put formula "=WRAPROWS(Data!A1:A6,0)" into cell A159.</t>
        </is>
      </c>
      <c r="C201" s="3" t="inlineStr">
        <is>
          <t xml:space="preserve">OK</t>
        </is>
      </c>
    </row>
    <row r="202">
      <c r="B202" s="1" t="inlineStr">
        <is>
          <t xml:space="preserve">Put formula "=INDEX(WRAPCOLS(Data!A1:A6,4),3,1)" into cell A160.</t>
        </is>
      </c>
      <c r="C202" s="3" t="inlineStr">
        <is>
          <t xml:space="preserve">OK</t>
        </is>
      </c>
    </row>
    <row r="203">
      <c r="B203" s="1" t="inlineStr">
        <is>
          <t xml:space="preserve">Put formula "=ROWS(WRAPCOLS(Data!A1:A6,4))" into cell A161.</t>
        </is>
      </c>
      <c r="C203" s="3" t="inlineStr">
        <is>
          <t xml:space="preserve">OK</t>
        </is>
      </c>
    </row>
    <row r="204">
      <c r="B204" s="1" t="inlineStr">
        <is>
          <t xml:space="preserve">Put formula "=INDEX(EXPAND(Data!E1:F3,4,3),4,3)" into cell A162.</t>
        </is>
      </c>
      <c r="C204" s="3" t="inlineStr">
        <is>
          <t xml:space="preserve">OK</t>
        </is>
      </c>
    </row>
    <row r="205">
      <c r="B205" s="1" t="inlineStr">
        <is>
          <t xml:space="preserve">Put formula "=INDEX(EXPAND(Data!E1:F3,4,3,""-""),1,3)" into cell A163.</t>
        </is>
      </c>
      <c r="C205" s="3" t="inlineStr">
        <is>
          <t xml:space="preserve">OK</t>
        </is>
      </c>
    </row>
    <row r="206">
      <c r="B206" s="1" t="inlineStr">
        <is>
          <t xml:space="preserve">Put formula "=EXPAND(Data!E1:F3,2,2)" into cell A164.</t>
        </is>
      </c>
      <c r="C206" s="3" t="inlineStr">
        <is>
          <t xml:space="preserve">OK</t>
        </is>
      </c>
    </row>
    <row r="207">
      <c r="B207" s="1" t="inlineStr">
        <is>
          <t xml:space="preserve">Put formula "=ROWS(EXPAND({1},3))" into cell A165.</t>
        </is>
      </c>
      <c r="C207" s="3" t="inlineStr">
        <is>
          <t xml:space="preserve">OK</t>
        </is>
      </c>
    </row>
    <row r="208">
      <c r="B208" s="1" t="inlineStr">
        <is>
          <t xml:space="preserve">Put formula "=SUM(Data!A1:A6*Data!C1:C6)+ROWS(SEQUENCE(1))-1" into cell A166.</t>
        </is>
      </c>
      <c r="C208" s="3" t="inlineStr">
        <is>
          <t xml:space="preserve">OK</t>
        </is>
      </c>
    </row>
    <row r="209">
      <c r="B209" s="1" t="inlineStr">
        <is>
          <t xml:space="preserve">Put formula "=SUM(LEN(Data!B1:B6))+ROWS(SEQUENCE(1))-1" into cell A167.</t>
        </is>
      </c>
      <c r="C209" s="3" t="inlineStr">
        <is>
          <t xml:space="preserve">OK</t>
        </is>
      </c>
    </row>
    <row r="210">
      <c r="B210" s="1" t="inlineStr">
        <is>
          <t xml:space="preserve">Put formula "=SUM(IF(Data!A1:A6&gt;2,Data!C1:C6,0))+ROWS(SEQUENCE(1))-1" into cell A168.</t>
        </is>
      </c>
      <c r="C210" s="3" t="inlineStr">
        <is>
          <t xml:space="preserve">OK</t>
        </is>
      </c>
    </row>
    <row r="211">
      <c r="B211" s="1" t="inlineStr">
        <is>
          <t xml:space="preserve">Put formula "=SUM(ROW(Data!A1:A6))+ROWS(SEQUENCE(1))-1" into cell A169.</t>
        </is>
      </c>
      <c r="C211" s="3" t="inlineStr">
        <is>
          <t xml:space="preserve">OK</t>
        </is>
      </c>
    </row>
    <row r="212">
      <c r="B212" s="1" t="inlineStr">
        <is>
          <t xml:space="preserve">Put formula "=SUM(ISBLANK(Data!B1:B6)*1)+ROWS(SEQUENCE(1))-1" into cell A170.</t>
        </is>
      </c>
      <c r="C212" s="3" t="inlineStr">
        <is>
          <t xml:space="preserve">OK</t>
        </is>
      </c>
    </row>
    <row r="213">
      <c r="B213" s="1" t="inlineStr">
        <is>
          <t xml:space="preserve">Put formula "=SUM((Data!B1:B6="""")*1)+ROWS(SEQUENCE(1))-1" into cell A171.</t>
        </is>
      </c>
      <c r="C213" s="3" t="inlineStr">
        <is>
          <t xml:space="preserve">OK</t>
        </is>
      </c>
    </row>
    <row r="214">
      <c r="B214" s="1" t="inlineStr">
        <is>
          <t xml:space="preserve">Put formula "=SUM(CHOOSE({1,2},Data!A1:A6,Data!C1:C6))+ROWS(SEQUENCE(1))-1" into cell A172.</t>
        </is>
      </c>
      <c r="C214" s="3" t="inlineStr">
        <is>
          <t xml:space="preserve">OK</t>
        </is>
      </c>
    </row>
    <row r="215">
      <c r="B215" s="1" t="inlineStr">
        <is>
          <t xml:space="preserve">Put formula "=MAX(INDEX(Data!A1:A6*Data!C1:C6,0,1))" into cell A173.</t>
        </is>
      </c>
      <c r="C215" s="3" t="inlineStr">
        <is>
          <t xml:space="preserve">OK</t>
        </is>
      </c>
    </row>
    <row r="216">
      <c r="B216" s="1" t="inlineStr">
        <is>
          <t xml:space="preserve">Put formula "=SUM(INDEX(Data!C1:C6,{1,6}))" into cell A174.</t>
        </is>
      </c>
      <c r="C216" s="3" t="inlineStr">
        <is>
          <t xml:space="preserve">OK</t>
        </is>
      </c>
    </row>
    <row r="217">
      <c r="B217" s="1" t="inlineStr">
        <is>
          <t xml:space="preserve">Put formula "=SUM(INDEX({10,20,30},{1,3}))" into cell A175.</t>
        </is>
      </c>
      <c r="C217" s="3" t="inlineStr">
        <is>
          <t xml:space="preserve">OK</t>
        </is>
      </c>
    </row>
    <row r="218">
      <c r="B218" s="1" t="inlineStr">
        <is>
          <t xml:space="preserve">Put formula "=SINGLE(SEQUENCE(3)*2)" into cell A176.</t>
        </is>
      </c>
      <c r="C218" s="3" t="inlineStr">
        <is>
          <t xml:space="preserve">OK</t>
        </is>
      </c>
    </row>
    <row r="219">
      <c r="B219" s="1" t="inlineStr">
        <is>
          <t xml:space="preserve">Put formula "=XLOOKUP(4,Data!A1:A6,Data!C1:C6)" into cell A177.</t>
        </is>
      </c>
      <c r="C219" s="3" t="inlineStr">
        <is>
          <t xml:space="preserve">OK</t>
        </is>
      </c>
    </row>
    <row r="220">
      <c r="B220" s="1" t="inlineStr">
        <is>
          <t xml:space="preserve">Put formula "=XLOOKUP(5,SEQUENCE(6),Data!C1:C6)" into cell A178.</t>
        </is>
      </c>
      <c r="C220" s="3" t="inlineStr">
        <is>
          <t xml:space="preserve">OK</t>
        </is>
      </c>
    </row>
    <row r="221">
      <c r="B221" s="1" t="inlineStr">
        <is>
          <t xml:space="preserve">Put formula "=SUM(XLOOKUP({1,9},Data!A1:A6,Data!C1:C6))" into cell A179.</t>
        </is>
      </c>
      <c r="C221" s="3" t="inlineStr">
        <is>
          <t xml:space="preserve">OK</t>
        </is>
      </c>
    </row>
    <row r="222">
      <c r="B222" s="1" t="inlineStr">
        <is>
          <t xml:space="preserve">Put formula "=XLOOKUP(2,{1,2,3},{""a"",""b"",""c""})" into cell A180.</t>
        </is>
      </c>
      <c r="C222" s="3" t="inlineStr">
        <is>
          <t xml:space="preserve">OK</t>
        </is>
      </c>
    </row>
    <row r="223">
      <c r="B223" s="1" t="inlineStr">
        <is>
          <t xml:space="preserve">Put formula "=MATCH(5,SORT(Data!A1:A6),0)" into cell A181.</t>
        </is>
      </c>
      <c r="C223" s="3" t="inlineStr">
        <is>
          <t xml:space="preserve">OK</t>
        </is>
      </c>
    </row>
    <row r="224">
      <c r="B224" s="1" t="inlineStr">
        <is>
          <t xml:space="preserve">Put formula "=VLOOKUP(4,SORT(Data!A1:C6),3,FALSE)" into cell A182.</t>
        </is>
      </c>
      <c r="C224" s="3" t="inlineStr">
        <is>
          <t xml:space="preserve">OK</t>
        </is>
      </c>
    </row>
    <row r="225">
      <c r="B225" s="1" t="inlineStr">
        <is>
          <t xml:space="preserve">Put formula "=LOOKUP(4.5,SORT(Data!A1:A6),SEQUENCE(6))" into cell A183.</t>
        </is>
      </c>
      <c r="C225" s="3" t="inlineStr">
        <is>
          <t xml:space="preserve">OK</t>
        </is>
      </c>
    </row>
    <row r="226">
      <c r="B226" s="1" t="inlineStr">
        <is>
          <t xml:space="preserve">Put formula "=INDEX({10,20;30,40},2,1)" into cell A184.</t>
        </is>
      </c>
      <c r="C226" s="3" t="inlineStr">
        <is>
          <t xml:space="preserve">OK</t>
        </is>
      </c>
    </row>
    <row r="227">
      <c r="B227" s="1" t="inlineStr">
        <is>
          <t xml:space="preserve">Put formula "=CONCAT(SEQUENCE(3))" into cell A185.</t>
        </is>
      </c>
      <c r="C227" s="3" t="inlineStr">
        <is>
          <t xml:space="preserve">OK</t>
        </is>
      </c>
    </row>
    <row r="228">
      <c r="B228" s="1" t="inlineStr">
        <is>
          <t xml:space="preserve">Put formula "=TEXTJOIN(""-"",FALSE,{""a"","""",TRUE})" into cell A186.</t>
        </is>
      </c>
      <c r="C228" s="3" t="inlineStr">
        <is>
          <t xml:space="preserve">OK</t>
        </is>
      </c>
    </row>
    <row r="229">
      <c r="B229" s="1" t="inlineStr">
        <is>
          <t xml:space="preserve">Put formula "=SUM(Data!A1:INDEX(Data!A1:A6,3))" into cell A187.</t>
        </is>
      </c>
      <c r="C229" s="3" t="inlineStr">
        <is>
          <t xml:space="preserve">OK</t>
        </is>
      </c>
    </row>
    <row r="230">
      <c r="B230" s="1" t="inlineStr">
        <is>
          <t xml:space="preserve">Put formula "=SUM(INDEX(Data!A1:A6,2):INDEX(Data!A1:A6,4))" into cell A188.</t>
        </is>
      </c>
      <c r="C230" s="3" t="inlineStr">
        <is>
          <t xml:space="preserve">OK</t>
        </is>
      </c>
    </row>
    <row r="231">
      <c r="B231" s="1" t="inlineStr">
        <is>
          <t xml:space="preserve">Put formula "=ROWS(Data!A1:INDEX(Data!A:A,4))" into cell A189.</t>
        </is>
      </c>
      <c r="C231" s="3" t="inlineStr">
        <is>
          <t xml:space="preserve">OK</t>
        </is>
      </c>
    </row>
    <row r="232">
      <c r="B232" s="1" t="inlineStr">
        <is>
          <t xml:space="preserve">Put formula "=SUM(Data!A1:INDEX(Data!C1:C6,2))" into cell A190.</t>
        </is>
      </c>
      <c r="C232" s="3" t="inlineStr">
        <is>
          <t xml:space="preserve">OK</t>
        </is>
      </c>
    </row>
    <row r="233">
      <c r="B233" s="1" t="inlineStr">
        <is>
          <t xml:space="preserve">Put formula "=SUM(Data!A1:INDEX(Data!A1:A6,7))" into cell A191.</t>
        </is>
      </c>
      <c r="C233" s="3" t="inlineStr">
        <is>
          <t xml:space="preserve">OK</t>
        </is>
      </c>
    </row>
    <row r="234">
      <c r="B234" s="1" t="inlineStr">
        <is>
          <t xml:space="preserve">Put formula "=SUM(Data!A1:IF(TRUE,Data!A3,Data!A5))" into cell A192.</t>
        </is>
      </c>
      <c r="C234" s="3" t="inlineStr">
        <is>
          <t xml:space="preserve">OK</t>
        </is>
      </c>
    </row>
    <row r="235">
      <c r="B235" s="1" t="inlineStr">
        <is>
          <t xml:space="preserve">Put formula "=SUM(Data!A1:CHOOSE(2,Data!A2,Data!A6))" into cell A193.</t>
        </is>
      </c>
      <c r="C235" s="3" t="inlineStr">
        <is>
          <t xml:space="preserve">OK</t>
        </is>
      </c>
    </row>
    <row r="236">
      <c r="B236" s="1" t="inlineStr">
        <is>
          <t xml:space="preserve">Put formula "=ROWS(Data!A2:Data!A5)" into cell A194.</t>
        </is>
      </c>
      <c r="C236" s="3" t="inlineStr">
        <is>
          <t xml:space="preserve">OK</t>
        </is>
      </c>
    </row>
    <row r="237">
      <c r="B237" s="1" t="inlineStr">
        <is>
          <t xml:space="preserve">Put formula "=SUM(SEQUENCE(2000000))" into cell A195.</t>
        </is>
      </c>
      <c r="C237" s="3" t="inlineStr">
        <is>
          <t xml:space="preserve">OK</t>
        </is>
      </c>
    </row>
    <row r="238">
      <c r="B238" s="1" t="inlineStr">
        <is>
          <t xml:space="preserve">Put formula "=INDEX(SORT({#N/A;TRUE;1;""a""}),3)" into cell A196.</t>
        </is>
      </c>
      <c r="C238" s="3" t="inlineStr">
        <is>
          <t xml:space="preserve">OK</t>
        </is>
      </c>
    </row>
    <row r="239">
      <c r="B239" s="1" t="inlineStr">
        <is>
          <t xml:space="preserve">Put formula "=INDEX(SORT({#N/A;TRUE;1;""a""},1,-1),2)" into cell A197.</t>
        </is>
      </c>
      <c r="C239" s="3" t="inlineStr">
        <is>
          <t xml:space="preserve">OK</t>
        </is>
      </c>
    </row>
    <row r="240">
      <c r="B240" s="1" t="inlineStr">
        <is>
          <t xml:space="preserve">Put formula "=SUM(IFNA(MOD({5,6,7},{2,3}),100))" into cell A198.</t>
        </is>
      </c>
      <c r="C240" s="3" t="inlineStr">
        <is>
          <t xml:space="preserve">OK</t>
        </is>
      </c>
    </row>
    <row r="241">
      <c r="B241" s="1" t="inlineStr">
        <is>
          <t xml:space="preserve">Put formula "=TEXTJOIN("","",TRUE,SORTBY(SEQUENCE(40),MOD(SEQUENCE(40),2)))" into cell A199.</t>
        </is>
      </c>
      <c r="C241" s="3" t="inlineStr">
        <is>
          <t xml:space="preserve">OK</t>
        </is>
      </c>
    </row>
    <row r="242">
      <c r="B242" s="1" t="inlineStr">
        <is>
          <t xml:space="preserve">Put formula "=SUM(IFERROR(SEQUENCE(1,3)/{1,0,1},{10,20}))" into cell A200.</t>
        </is>
      </c>
      <c r="C242" s="3" t="inlineStr">
        <is>
          <t xml:space="preserve">OK</t>
        </is>
      </c>
    </row>
    <row r="243">
      <c r="B243" s="1" t="inlineStr">
        <is>
          <t xml:space="preserve">Put formula "=SUM(VLOOKUP(3,Data!A1:C6,SEQUENCE(1,2,1,2),FALSE))" into cell A201.</t>
        </is>
      </c>
      <c r="C243" s="3" t="inlineStr">
        <is>
          <t xml:space="preserve">OK</t>
        </is>
      </c>
    </row>
    <row r="244">
      <c r="B244" s="1" t="inlineStr">
        <is>
          <t xml:space="preserve">Put formula "=SUM(HLOOKUP(1,{1,2;10,20},{1,2},FALSE))" into cell A202.</t>
        </is>
      </c>
      <c r="C244" s="3" t="inlineStr">
        <is>
          <t xml:space="preserve">OK</t>
        </is>
      </c>
    </row>
    <row r="245">
      <c r="B245" s="1" t="inlineStr">
        <is>
          <t xml:space="preserve">Put formula "=SUM(VLOOKUP({3,4},Data!A1:C6,3,FALSE))" into cell A203.</t>
        </is>
      </c>
      <c r="C245" s="3" t="inlineStr">
        <is>
          <t xml:space="preserve">OK</t>
        </is>
      </c>
    </row>
    <row r="246">
      <c r="B246" s="1" t="inlineStr">
        <is>
          <t xml:space="preserve">Put formula "=SUM(MATCH({4,9},Data!A1:A6,0))" into cell A204.</t>
        </is>
      </c>
      <c r="C246" s="3" t="inlineStr">
        <is>
          <t xml:space="preserve">OK</t>
        </is>
      </c>
    </row>
    <row r="247">
      <c r="B247" s="1" t="inlineStr">
        <is>
          <t xml:space="preserve">Put formula "=SUM(LOOKUP({1,5},{1,5,9},{10,50,90}))" into cell A205.</t>
        </is>
      </c>
      <c r="C247" s="3" t="inlineStr">
        <is>
          <t xml:space="preserve">OK</t>
        </is>
      </c>
    </row>
    <row r="248">
      <c r="B248" s="1" t="inlineStr">
        <is>
          <t xml:space="preserve">Put formula "=SUMPRODUCT(IF(Data!A1:A6&gt;2,1,0))" into cell A206.</t>
        </is>
      </c>
      <c r="C248" s="3" t="inlineStr">
        <is>
          <t xml:space="preserve">OK</t>
        </is>
      </c>
    </row>
    <row r="249">
      <c r="B249" s="1" t="inlineStr">
        <is>
          <t xml:space="preserve">Put formula "=SUMPRODUCT(IFERROR(1/(Data!A1:A6-1),0))" into cell A207.</t>
        </is>
      </c>
      <c r="C249" s="3" t="inlineStr">
        <is>
          <t xml:space="preserve">OK</t>
        </is>
      </c>
    </row>
    <row r="250">
      <c r="B250" s="1" t="inlineStr">
        <is>
          <t xml:space="preserve">Put formula "=SUM(CHOOSE({2,2,2},{10,20},5))" into cell A208.</t>
        </is>
      </c>
      <c r="C250" s="3" t="inlineStr">
        <is>
          <t xml:space="preserve">OK</t>
        </is>
      </c>
    </row>
    <row r="251">
      <c r="B251" s="1" t="inlineStr">
        <is>
          <t xml:space="preserve">Put formula "=SUM(IF(SEQUENCE(1,3)&gt;5,{1,2},7))" into cell A209.</t>
        </is>
      </c>
      <c r="C251" s="3" t="inlineStr">
        <is>
          <t xml:space="preserve">OK</t>
        </is>
      </c>
    </row>
    <row r="252">
      <c r="B252" s="1" t="inlineStr">
        <is>
          <t xml:space="preserve">Put formula "=SUMPRODUCT(IF(Data!A1:A6&gt;2,SEQUENCE(6)^0,0))" into cell A210.</t>
        </is>
      </c>
      <c r="C252" s="3" t="inlineStr">
        <is>
          <t xml:space="preserve">OK</t>
        </is>
      </c>
    </row>
    <row r="253">
      <c r="B253" s="1" t="inlineStr">
        <is>
          <t xml:space="preserve">Put formula "=COUNTA(SORT(Data!B1:B6))" into cell A211.</t>
        </is>
      </c>
      <c r="C253" s="3" t="inlineStr">
        <is>
          <t xml:space="preserve">OK</t>
        </is>
      </c>
    </row>
    <row r="254">
      <c r="B254" s="1" t="inlineStr">
        <is>
          <t xml:space="preserve">Put formula "=COUNT(TRANSPOSE(Data!D1:D6))" into cell A212.</t>
        </is>
      </c>
      <c r="C254" s="3" t="inlineStr">
        <is>
          <t xml:space="preserve">OK</t>
        </is>
      </c>
    </row>
    <row r="255">
      <c r="B255" s="1" t="inlineStr">
        <is>
          <t xml:space="preserve">Put formula "=LEN(TEXTJOIN("","",TRUE,REPT(""x"",20000),REPT(""y"",20000)))" into cell A213.</t>
        </is>
      </c>
      <c r="C255" s="3" t="inlineStr">
        <is>
          <t xml:space="preserve">OK</t>
        </is>
      </c>
    </row>
    <row r="256">
      <c r="B256" s="1" t="inlineStr">
        <is>
          <t xml:space="preserve">Put formula "=LEN(CONCAT(REPT(""x"",20000),REPT(""y"",20000)))" into cell A214.</t>
        </is>
      </c>
      <c r="C256" s="3" t="inlineStr">
        <is>
          <t xml:space="preserve">OK</t>
        </is>
      </c>
    </row>
  </sheetData>
</worksheet>
</file>

<file path=xl/worksheets/frazaro_2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selection activeCell="A1" sqref="A1"/>
    </sheetView>
  </sheetViews>
  <sheetFormatPr defaultRowHeight="15"/>
  <sheetData>
    <row r="1">
      <c r="A1" s="0">
        <v>3</v>
      </c>
      <c r="B1" s="0" t="inlineStr">
        <is>
          <t xml:space="preserve">pear</t>
        </is>
      </c>
      <c r="C1" s="0">
        <v>10</v>
      </c>
      <c r="D1" s="0">
        <v>2</v>
      </c>
      <c r="E1" s="0">
        <v>1</v>
      </c>
      <c r="F1" s="0">
        <v>2</v>
      </c>
      <c r="G1" s="0">
        <v>7</v>
      </c>
      <c r="H1" s="0" t="e">
        <f>1/0</f>
        <v>#DIV/0!</v>
      </c>
      <c r="I1" s="0">
        <v>0.3</v>
      </c>
    </row>
    <row r="2">
      <c r="A2" s="0">
        <v>1</v>
      </c>
      <c r="B2" s="0" t="inlineStr">
        <is>
          <t xml:space="preserve">Apple</t>
        </is>
      </c>
      <c r="C2" s="0">
        <v>20</v>
      </c>
      <c r="D2" s="0" t="inlineStr">
        <is>
          <t xml:space="preserve">x</t>
        </is>
      </c>
      <c r="E2" s="0">
        <v>3</v>
      </c>
      <c r="F2" s="0">
        <v>4</v>
      </c>
      <c r="G2" s="0">
        <v>8</v>
      </c>
      <c r="H2" s="0">
        <v>7</v>
      </c>
      <c r="I2" s="0">
        <f>0.1+0.2</f>
        <v>0.30000000000000004</v>
      </c>
    </row>
    <row r="3">
      <c r="A3" s="0">
        <v>4</v>
      </c>
      <c r="B3" s="0" t="inlineStr">
        <is>
          <t xml:space="preserve">fig</t>
        </is>
      </c>
      <c r="C3" s="0">
        <v>30</v>
      </c>
      <c r="D3" s="0" t="b">
        <f>TRUE</f>
        <v>1</v>
      </c>
      <c r="E3" s="0">
        <v>5</v>
      </c>
      <c r="F3" s="0">
        <v>6</v>
      </c>
    </row>
    <row r="4">
      <c r="A4" s="0">
        <v>1</v>
      </c>
      <c r="B4" s="0" t="inlineStr">
        <is>
          <t xml:space="preserve">apple</t>
        </is>
      </c>
      <c r="C4" s="0">
        <v>40</v>
      </c>
    </row>
    <row r="5">
      <c r="A5" s="0">
        <v>5</v>
      </c>
      <c r="B5" s="0" t="inlineStr">
        <is>
          <t xml:space="preserve">Date</t>
        </is>
      </c>
      <c r="C5" s="0">
        <v>50</v>
      </c>
      <c r="D5" s="0">
        <v>0</v>
      </c>
    </row>
    <row r="6">
      <c r="A6" s="0">
        <v>9</v>
      </c>
      <c r="C6" s="0">
        <v>60</v>
      </c>
      <c r="D6" s="0">
        <v>-1</v>
      </c>
    </row>
  </sheetData>
</worksheet>
</file>

<file path=xl/worksheets/frazaro_3.xml><?xml version="1.0" encoding="utf-8"?>
<worksheet xmlns="http://schemas.openxmlformats.org/spreadsheetml/2006/main" xmlns:r="http://schemas.openxmlformats.org/officeDocument/2006/relationships">
  <dimension ref="A1:G214"/>
  <sheetViews>
    <sheetView workbookViewId="0">
      <selection activeCell="A1" sqref="A1"/>
    </sheetView>
  </sheetViews>
  <sheetFormatPr defaultRowHeight="15"/>
  <sheetData>
    <row r="1">
      <c r="D1" s="0" cm="1">
        <f t="array" ref="D1">_xlfn.SEQUENCE(2,2)</f>
      </c>
      <c r="G1" s="0" cm="1">
        <f t="array" ref="G1">_xlfn._xlws.FILTER(Data!A1:A6,Data!A1:A6&gt;4)</f>
      </c>
    </row>
    <row r="10">
      <c r="A10" s="0">
        <f>SUM({1,2;3,4})</f>
        <v>10</v>
      </c>
    </row>
    <row r="11">
      <c r="A11" s="0">
        <f>SUM({1,"2",TRUE})</f>
        <v>1</v>
      </c>
    </row>
    <row r="12">
      <c r="A12" s="0">
        <f>COUNTA({1,"a",TRUE,#N/A})</f>
        <v>4</v>
      </c>
    </row>
    <row r="13">
      <c r="A13" s="0">
        <f>COUNT({1,"2",TRUE})</f>
        <v>1</v>
      </c>
    </row>
    <row r="14">
      <c r="A14" s="0">
        <f>AVERAGE({1,2,3,4})</f>
        <v>2.5</v>
      </c>
    </row>
    <row r="15">
      <c r="A15" s="0">
        <f>MAX({-1,-5;3,0})</f>
        <v>3</v>
      </c>
    </row>
    <row r="16">
      <c r="A16" s="0" t="b">
        <f>AND({TRUE,1})</f>
        <v>1</v>
      </c>
    </row>
    <row r="17">
      <c r="A17" s="0" t="b">
        <f>OR({FALSE,0})</f>
        <v>0</v>
      </c>
    </row>
    <row r="18">
      <c r="A18" s="0">
        <f>{1,2,3}</f>
        <v>1</v>
      </c>
    </row>
    <row r="19">
      <c r="A19" s="0">
        <f>{-1,2}*2</f>
        <v>-2</v>
      </c>
    </row>
    <row r="20">
      <c r="A20" s="0">
        <f>SUM({1,2,3}*{4,5,6})</f>
        <v>32</v>
      </c>
    </row>
    <row r="21">
      <c r="A21" s="0">
        <f>SUM({1,2,3}+{10;20})</f>
        <v>102</v>
      </c>
    </row>
    <row r="22">
      <c r="A22" s="0" t="e">
        <f>SUM({1,2,3}+{10,20})</f>
        <v>#N/A</v>
      </c>
    </row>
    <row r="23">
      <c r="A23" s="0">
        <f>SUM(LEN({"a","bc","def"}))</f>
        <v>6</v>
      </c>
    </row>
    <row r="24">
      <c r="A24" s="0">
        <f>SUM(IF({TRUE,FALSE,TRUE},{1,2,3},{10,20,30}))</f>
        <v>24</v>
      </c>
    </row>
    <row r="25">
      <c r="A25" s="0" t="e">
        <f>SUM(IF({TRUE,FALSE,TRUE},{1,2},0))</f>
        <v>#N/A</v>
      </c>
    </row>
    <row r="26">
      <c r="A26" s="0">
        <f>SUM(IF({FALSE,FALSE,FALSE},{1,2},5))</f>
        <v>15</v>
      </c>
    </row>
    <row r="27">
      <c r="A27" s="0" cm="1">
        <f t="array" ref="A27">SUM(CHOOSE({1,2},10,20))</f>
        <v>30</v>
      </c>
    </row>
    <row r="28">
      <c r="A28" s="0">
        <f>SUM(IFERROR({1,#N/A,3},0))</f>
        <v>1</v>
      </c>
    </row>
    <row r="29">
      <c r="A29" s="0">
        <f>SUM(IFERROR({1,2,3},{10,20}))</f>
        <v>1</v>
      </c>
    </row>
    <row r="30">
      <c r="A30" s="0">
        <f>SUM(ISNUMBER({1,"a",TRUE})*1)</f>
        <v>1</v>
      </c>
    </row>
    <row r="31">
      <c r="A31" s="0">
        <f>SUM(COUNTIF(Data!A1:A6,{1,3}))</f>
        <v>3</v>
      </c>
    </row>
    <row r="32">
      <c r="A32" s="0">
        <f>SUM(SUMIF(Data!A1:A6,{1,5},Data!C1:C6))</f>
        <v>110</v>
      </c>
    </row>
    <row r="33">
      <c r="A33" s="0">
        <f>SUM(VLOOKUP(3,Data!A1:C6,{1,3},FALSE))</f>
        <v>3</v>
      </c>
    </row>
    <row r="34">
      <c r="A34" s="0">
        <f>MATCH(4,{3,1,4},0)</f>
        <v>3</v>
      </c>
    </row>
    <row r="35">
      <c r="A35" s="0">
        <f>SUM(-{1,2})</f>
        <v>-3</v>
      </c>
    </row>
    <row r="36">
      <c r="A36" s="0">
        <f>SUM({50,150}%)</f>
        <v>2</v>
      </c>
    </row>
    <row r="37">
      <c r="A37" s="0">
        <f>SUM(({1,2,3}&gt;1)*1)</f>
        <v>2</v>
      </c>
    </row>
    <row r="38">
      <c r="A38" s="0">
        <f>SUMPRODUCT({1,2},{3,4})</f>
        <v>11</v>
      </c>
    </row>
    <row r="39">
      <c r="A39" s="0">
        <f>SUMPRODUCT(Data!A1:A6,Data!C1:C6)</f>
        <v>1000</v>
      </c>
    </row>
    <row r="40">
      <c r="A40" s="0">
        <f>SUMPRODUCT(Data!A1:A6*Data!C1:C6)</f>
        <v>1000</v>
      </c>
    </row>
    <row r="41">
      <c r="A41" s="0">
        <f>SUMPRODUCT((Data!A1:A6&gt;2)*Data!C1:C6)</f>
        <v>150</v>
      </c>
    </row>
    <row r="42">
      <c r="A42" s="0">
        <f>SUMPRODUCT(--(Data!A1:A6&gt;2))</f>
        <v>4</v>
      </c>
    </row>
    <row r="43">
      <c r="A43" s="0">
        <f>SUMPRODUCT((Data!A1:A6&gt;2)*1,Data!C1:C6)</f>
        <v>150</v>
      </c>
    </row>
    <row r="44">
      <c r="A44" s="0" t="e">
        <f>SUMPRODUCT(Data!A1:A6,Data!C1:C5)</f>
        <v>#VALUE!</v>
      </c>
    </row>
    <row r="45">
      <c r="A45" s="0">
        <f>SUMPRODUCT({1,"a",TRUE},{1,1,1})</f>
        <v>1</v>
      </c>
    </row>
    <row r="46">
      <c r="A46" s="0">
        <f>SUMPRODUCT(Data!D1:D6)</f>
        <v>1</v>
      </c>
    </row>
    <row r="47">
      <c r="A47" s="0" t="e">
        <f>SUMPRODUCT({1,2},{3,#N/A})</f>
        <v>#N/A</v>
      </c>
    </row>
    <row r="48">
      <c r="A48" s="0">
        <f>SUMPRODUCT(ROW(Data!A1:A6)*Data!A1:A6)</f>
        <v>100</v>
      </c>
    </row>
    <row r="49">
      <c r="A49" s="0">
        <f>SUMPRODUCT(LEN(Data!B1:B6))</f>
        <v>21</v>
      </c>
    </row>
    <row r="50">
      <c r="A50" s="0">
        <f>SUMPRODUCT(5)</f>
        <v>5</v>
      </c>
    </row>
    <row r="51">
      <c r="A51" s="0">
        <f>SUMPRODUCT("5")</f>
        <v>0</v>
      </c>
    </row>
    <row r="52">
      <c r="A52" s="0">
        <f>ROWS({1,2;3,4;5,6})</f>
        <v>3</v>
      </c>
    </row>
    <row r="53">
      <c r="A53" s="0">
        <f>COLUMNS({1,2;3,4;5,6})</f>
        <v>2</v>
      </c>
    </row>
    <row r="54">
      <c r="A54" s="0">
        <f>ROWS(Data!A1:C6)</f>
        <v>6</v>
      </c>
    </row>
    <row r="55">
      <c r="A55" s="0">
        <f>COLUMNS(Data!A1:C6)</f>
        <v>3</v>
      </c>
    </row>
    <row r="56">
      <c r="A56" s="0">
        <f>ROWS(5)</f>
        <v>1</v>
      </c>
    </row>
    <row r="57">
      <c r="A57" s="0">
        <f>ROWS(Data!A1:A6*1)</f>
        <v>6</v>
      </c>
    </row>
    <row r="58">
      <c r="A58" s="0" t="e">
        <f>SUM(Data!A1:A6*Data!C1:C6)</f>
        <v>#VALUE!</v>
      </c>
    </row>
    <row r="59">
      <c r="A59" s="0">
        <f>SUM(ROW(Data!A1:A6))</f>
        <v>1</v>
      </c>
    </row>
    <row r="60">
      <c r="A60" s="0" cm="1">
        <f t="array" ref="A60">SUM(_xlfn.SEQUENCE(4))</f>
        <v>10</v>
      </c>
    </row>
    <row r="61">
      <c r="A61" s="0" cm="1">
        <f t="array" ref="A61">SUM(_xlfn.SEQUENCE(2,3))</f>
        <v>21</v>
      </c>
    </row>
    <row r="62">
      <c r="A62" s="0" cm="1">
        <f t="array" ref="A62">SUM(_xlfn.SEQUENCE(3,1,10,5))</f>
        <v>45</v>
      </c>
    </row>
    <row r="63">
      <c r="A63" s="0" cm="1">
        <f t="array" ref="A63">SUM(_xlfn.SEQUENCE(5,1,0,0.1))</f>
        <v>1</v>
      </c>
    </row>
    <row r="64">
      <c r="A64" s="0" cm="1">
        <f t="array" ref="A64">_xlfn.SEQUENCE(0)</f>
      </c>
    </row>
    <row r="65">
      <c r="A65" s="0" t="e" cm="1">
        <f t="array" ref="A65">_xlfn.SEQUENCE(-1)</f>
        <v>#VALUE!</v>
      </c>
    </row>
    <row r="66">
      <c r="A66" s="0" cm="1">
        <f t="array" ref="A66">SUM(_xlfn.SEQUENCE(2.9))</f>
        <v>3</v>
      </c>
    </row>
    <row r="67">
      <c r="A67" s="0" cm="1">
        <f t="array" ref="A67">_xlfn.SEQUENCE(1,0)</f>
      </c>
    </row>
    <row r="68">
      <c r="A68" s="0" cm="1">
        <f t="array" ref="A68">SUM(_xlfn.SEQUENCE(,3))</f>
        <v>6</v>
      </c>
    </row>
    <row r="69">
      <c r="A69" s="0" cm="1">
        <f t="array" ref="A69">INDEX(_xlfn.SEQUENCE(3,3),2,3)</f>
        <v>6</v>
      </c>
    </row>
    <row r="70">
      <c r="A70" s="0" cm="1">
        <f t="array" ref="A70">INDEX(_xlfn.SEQUENCE(2,2)*10,2,2)</f>
        <v>40</v>
      </c>
    </row>
    <row r="71">
      <c r="A71" s="0" cm="1">
        <f t="array" ref="A71">SUM(_xlfn.SEQUENCE(3)*{1;2;3})</f>
        <v>14</v>
      </c>
    </row>
    <row r="72">
      <c r="A72" s="0" cm="1">
        <f t="array" ref="A72">SUM(_xlfn._xlws.FILTER(Data!C1:C6,Data!A1:A6&gt;2))</f>
        <v>150</v>
      </c>
    </row>
    <row r="73">
      <c r="A73" s="0" cm="1">
        <f t="array" ref="A73">ROWS(_xlfn._xlws.FILTER(Data!A1:A6,Data!A1:A6=1))</f>
        <v>2</v>
      </c>
    </row>
    <row r="74">
      <c r="A74" s="0" cm="1">
        <f t="array" ref="A74">_xlfn._xlws.FILTER(Data!A1:A6,Data!A1:A6&gt;100)</f>
      </c>
    </row>
    <row r="75">
      <c r="A75" s="0" t="str" cm="1">
        <f t="array" ref="A75">_xlfn._xlws.FILTER(Data!A1:A6,Data!A1:A6&gt;100,"none")</f>
        <v>none</v>
      </c>
    </row>
    <row r="76">
      <c r="A76" s="0" cm="1">
        <f t="array" ref="A76">_xlfn._xlws.FILTER(Data!A1:A6,Data!A1:A6&gt;100,0)</f>
        <v>0</v>
      </c>
    </row>
    <row r="77">
      <c r="A77" s="0" cm="1">
        <f t="array" ref="A77">SUM(_xlfn._xlws.FILTER(Data!E1:F3,{TRUE,FALSE}))</f>
        <v>9</v>
      </c>
    </row>
    <row r="78">
      <c r="A78" s="0" t="e" cm="1">
        <f t="array" ref="A78">_xlfn._xlws.FILTER(Data!A1:A6,Data!A1:A5&gt;1)</f>
        <v>#VALUE!</v>
      </c>
    </row>
    <row r="79">
      <c r="A79" s="0" cm="1">
        <f t="array" ref="A79">SUM(_xlfn._xlws.FILTER(Data!A1:A6,(Data!A1:A6&gt;1)*(Data!A1:A6&lt;5)))</f>
        <v>7</v>
      </c>
    </row>
    <row r="80">
      <c r="A80" s="0" cm="1">
        <f t="array" ref="A80">ROWS(_xlfn._xlws.FILTER(Data!A1:A6,Data!C1:C6))</f>
        <v>6</v>
      </c>
    </row>
    <row r="81">
      <c r="A81" s="0" t="e" cm="1">
        <f t="array" ref="A81">_xlfn._xlws.FILTER(Data!A1:A6,Data!B1:B6)</f>
        <v>#VALUE!</v>
      </c>
    </row>
    <row r="82">
      <c r="A82" s="0" cm="1">
        <f t="array" ref="A82">COUNTA(_xlfn._xlws.FILTER(Data!B1:B6,Data!A1:A6&gt;0))</f>
        <v>6</v>
      </c>
    </row>
    <row r="83">
      <c r="A83" s="0" cm="1">
        <f t="array" ref="A83">SUM(ISBLANK(_xlfn._xlws.FILTER(Data!B1:B6,Data!A1:A6&gt;0))*1)</f>
        <v>1</v>
      </c>
    </row>
    <row r="84">
      <c r="A84" s="0" t="str" cm="1">
        <f t="array" ref="A84">_xlfn.TEXTJOIN(",",FALSE,_xlfn._xlws.FILTER(Data!B1:B6,Data!A1:A6&gt;0))</f>
        <v>pear,Apple,fig,apple,Date,</v>
      </c>
    </row>
    <row r="85">
      <c r="A85" s="0" cm="1">
        <f t="array" ref="A85">INDEX(_xlfn._xlws.SORT(Data!A1:A6),1)</f>
        <v>1</v>
      </c>
    </row>
    <row r="86">
      <c r="A86" s="0" cm="1">
        <f t="array" ref="A86">INDEX(_xlfn._xlws.SORT(Data!A1:A6),6)</f>
        <v>9</v>
      </c>
    </row>
    <row r="87">
      <c r="A87" s="0" cm="1">
        <f t="array" ref="A87">INDEX(_xlfn._xlws.SORT(Data!A1:A6,1,-1),1)</f>
        <v>9</v>
      </c>
    </row>
    <row r="88">
      <c r="A88" s="0" t="str" cm="1">
        <f t="array" ref="A88">INDEX(_xlfn._xlws.SORT(Data!B1:B5),1)</f>
        <v>Apple</v>
      </c>
    </row>
    <row r="89">
      <c r="A89" s="0" t="str" cm="1">
        <f t="array" ref="A89">INDEX(_xlfn._xlws.SORT(Data!B1:B5),2)</f>
        <v>apple</v>
      </c>
    </row>
    <row r="90">
      <c r="A90" s="0" cm="1">
        <f t="array" ref="A90">INDEX(_xlfn._xlws.SORT(Data!B1:B6),6)</f>
        <v>0</v>
      </c>
    </row>
    <row r="91">
      <c r="A91" s="0" cm="1">
        <f t="array" ref="A91">INDEX(_xlfn._xlws.SORT(Data!E1:F3,2,-1),1,1)</f>
        <v>5</v>
      </c>
    </row>
    <row r="92">
      <c r="A92" s="0" cm="1">
        <f t="array" ref="A92">INDEX(_xlfn._xlws.SORT(Data!E1:F3,1,1,TRUE),1,1)</f>
        <v>1</v>
      </c>
    </row>
    <row r="93">
      <c r="A93" s="0" cm="1">
        <f t="array" ref="A93">INDEX(_xlfn._xlws.SORT({3,1,2},1,1,TRUE),1)</f>
        <v>1</v>
      </c>
    </row>
    <row r="94">
      <c r="A94" s="0" t="str" cm="1">
        <f t="array" ref="A94">INDEX(_xlfn._xlws.SORT({"b";"A";"a";"B"}),1)</f>
        <v>A</v>
      </c>
    </row>
    <row r="95">
      <c r="A95" s="0" t="str" cm="1">
        <f t="array" ref="A95">INDEX(_xlfn._xlws.SORT({2;"a";TRUE;1}),3)</f>
        <v>a</v>
      </c>
    </row>
    <row r="96">
      <c r="A96" s="0" t="b" cm="1">
        <f t="array" ref="A96">INDEX(_xlfn._xlws.SORT({2;"a";TRUE;1}),4)</f>
        <v>1</v>
      </c>
    </row>
    <row r="97">
      <c r="A97" s="0" t="b" cm="1">
        <f t="array" ref="A97">INDEX(_xlfn._xlws.SORT({2;"a";TRUE;1},1,-1),1)</f>
        <v>1</v>
      </c>
    </row>
    <row r="98">
      <c r="A98" s="0" t="e" cm="1">
        <f t="array" ref="A98">INDEX(_xlfn._xlws.SORT({3;1;2},1,0),1)</f>
        <v>#VALUE!</v>
      </c>
    </row>
    <row r="99">
      <c r="A99" s="0" t="e" cm="1">
        <f t="array" ref="A99">INDEX(_xlfn._xlws.SORT({3;1;2},2),1)</f>
        <v>#VALUE!</v>
      </c>
    </row>
    <row r="100">
      <c r="A100" s="0" cm="1">
        <f t="array" ref="A100">INDEX(_xlfn._xlws.SORT(Data!E1:F3,{2,1},{-1,1}),1,2)</f>
        <v>6</v>
      </c>
    </row>
    <row r="101">
      <c r="A101" s="0" t="str" cm="1">
        <f t="array" ref="A101">INDEX(_xlfn.SORTBY(Data!B1:B5,Data!A1:A5),1)</f>
        <v>Apple</v>
      </c>
    </row>
    <row r="102">
      <c r="A102" s="0" t="str" cm="1">
        <f t="array" ref="A102">INDEX(_xlfn.SORTBY(Data!B1:B5,Data!A1:A5,-1),1)</f>
        <v>Date</v>
      </c>
    </row>
    <row r="103">
      <c r="A103" s="0" cm="1">
        <f t="array" ref="A103">INDEX(_xlfn.SORTBY(Data!C1:C6,Data!A1:A6,1,Data!C1:C6,-1),1)</f>
        <v>40</v>
      </c>
    </row>
    <row r="104">
      <c r="A104" s="0" t="e" cm="1">
        <f t="array" ref="A104">_xlfn.SORTBY(Data!A1:A6,Data!A1:A5)</f>
        <v>#VALUE!</v>
      </c>
    </row>
    <row r="105">
      <c r="A105" s="0" t="str" cm="1">
        <f t="array" ref="A105">_xlfn.TEXTJOIN(",",TRUE,_xlfn._xlws.SORT(Data!B1:B5))</f>
        <v>Apple,apple,Date,fig,pear</v>
      </c>
    </row>
    <row r="106">
      <c r="A106" s="0" cm="1">
        <f t="array" ref="A106">ROWS(_xlfn.UNIQUE(Data!A1:A6))</f>
        <v>5</v>
      </c>
    </row>
    <row r="107">
      <c r="A107" s="0" cm="1">
        <f t="array" ref="A107">ROWS(_xlfn.UNIQUE(Data!A1:A6,FALSE,TRUE))</f>
        <v>4</v>
      </c>
    </row>
    <row r="108">
      <c r="A108" s="0" cm="1">
        <f t="array" ref="A108">ROWS(_xlfn.UNIQUE(Data!B1:B5))</f>
        <v>4</v>
      </c>
    </row>
    <row r="109">
      <c r="A109" s="0" t="str" cm="1">
        <f t="array" ref="A109">INDEX(_xlfn.UNIQUE(Data!B1:B5),2)</f>
        <v>Apple</v>
      </c>
    </row>
    <row r="110">
      <c r="A110" s="0" cm="1">
        <f t="array" ref="A110">COLUMNS(_xlfn.UNIQUE({1,1,2},TRUE))</f>
        <v>2</v>
      </c>
    </row>
    <row r="111">
      <c r="A111" s="0" cm="1">
        <f t="array" ref="A111">_xlfn.UNIQUE({1;1},FALSE,TRUE)</f>
      </c>
    </row>
    <row r="112">
      <c r="A112" s="0" cm="1">
        <f t="array" ref="A112">ROWS(_xlfn.UNIQUE(Data!B1:B6))</f>
        <v>5</v>
      </c>
    </row>
    <row r="113">
      <c r="A113" s="0" cm="1">
        <f t="array" ref="A113">ROWS(_xlfn.UNIQUE(Data!I1:I2))</f>
        <v>2</v>
      </c>
    </row>
    <row r="114">
      <c r="A114" s="0" cm="1">
        <f t="array" ref="A114">INDEX(TRANSPOSE(Data!E1:F3),2,3)</f>
        <v>6</v>
      </c>
    </row>
    <row r="115">
      <c r="A115" s="0" cm="1">
        <f t="array" ref="A115">ROWS(TRANSPOSE(Data!A1:A6))</f>
        <v>1</v>
      </c>
    </row>
    <row r="116">
      <c r="A116" s="0" cm="1">
        <f t="array" ref="A116">COLUMNS(TRANSPOSE(Data!A1:A6))</f>
        <v>6</v>
      </c>
    </row>
    <row r="117">
      <c r="A117" s="0" cm="1">
        <f t="array" ref="A117">SUM(TRANSPOSE(Data!A1:A6)*{1,1,1,1,1,1})</f>
        <v>23</v>
      </c>
    </row>
    <row r="118">
      <c r="A118" s="0" cm="1">
        <f t="array" ref="A118">INDEX(TRANSPOSE(Data!B1:B6),1,6)</f>
        <v>0</v>
      </c>
    </row>
    <row r="119">
      <c r="A119" s="0" cm="1">
        <f t="array" ref="A119">COUNTA(TRANSPOSE(Data!B1:B6))</f>
        <v>6</v>
      </c>
    </row>
    <row r="120">
      <c r="A120" s="0" cm="1">
        <f t="array" ref="A120">INDEX(MMULT(Data!E1:F3,{1;1}),3,1)</f>
        <v>11</v>
      </c>
    </row>
    <row r="121">
      <c r="A121" s="0" cm="1">
        <f t="array" ref="A121">INDEX(MMULT({1,2},{3;4}),1,1)</f>
        <v>11</v>
      </c>
    </row>
    <row r="122">
      <c r="A122" s="0" t="e" cm="1">
        <f t="array" ref="A122">MMULT({1,2},{3,4})</f>
        <v>#VALUE!</v>
      </c>
    </row>
    <row r="123">
      <c r="A123" s="0" t="e" cm="1">
        <f t="array" ref="A123">MMULT({1,"a"},{1;1})</f>
        <v>#VALUE!</v>
      </c>
    </row>
    <row r="124">
      <c r="A124" s="0" t="e" cm="1">
        <f t="array" ref="A124">MMULT({1,#N/A},{1;1})</f>
        <v>#N/A</v>
      </c>
    </row>
    <row r="125">
      <c r="A125" s="0" cm="1">
        <f t="array" ref="A125">SUM(MMULT(Data!E1:F3,Data!G1:G2))</f>
        <v>159</v>
      </c>
    </row>
    <row r="126">
      <c r="A126" s="0" cm="1">
        <f t="array" ref="A126">INDEX(_xlfn.CHOOSECOLS(Data!E1:F3,2),3)</f>
        <v>6</v>
      </c>
    </row>
    <row r="127">
      <c r="A127" s="0" cm="1">
        <f t="array" ref="A127">INDEX(_xlfn.CHOOSECOLS(Data!E1:F3,-1,1),1,2)</f>
        <v>1</v>
      </c>
    </row>
    <row r="128">
      <c r="A128" s="0" t="e" cm="1">
        <f t="array" ref="A128">_xlfn.CHOOSECOLS(Data!E1:F3,3)</f>
        <v>#VALUE!</v>
      </c>
    </row>
    <row r="129">
      <c r="A129" s="0" t="e" cm="1">
        <f t="array" ref="A129">_xlfn.CHOOSECOLS(Data!E1:F3,0)</f>
        <v>#VALUE!</v>
      </c>
    </row>
    <row r="130">
      <c r="A130" s="0" cm="1">
        <f t="array" ref="A130">SUM(_xlfn.CHOOSEROWS(Data!A1:A6,{1,6}))</f>
        <v>12</v>
      </c>
    </row>
    <row r="131">
      <c r="A131" s="0" cm="1">
        <f t="array" ref="A131">INDEX(_xlfn.CHOOSEROWS(Data!E1:F3,-1),1,1)</f>
        <v>5</v>
      </c>
    </row>
    <row r="132">
      <c r="A132" s="0" cm="1">
        <f t="array" ref="A132">SUM(_xlfn.TAKE(Data!A1:A6,2))</f>
        <v>4</v>
      </c>
    </row>
    <row r="133">
      <c r="A133" s="0" cm="1">
        <f t="array" ref="A133">SUM(_xlfn.TAKE(Data!A1:A6,-2))</f>
        <v>14</v>
      </c>
    </row>
    <row r="134">
      <c r="A134" s="0" cm="1">
        <f t="array" ref="A134">SUM(_xlfn.TAKE(Data!E1:F3,2,1))</f>
        <v>4</v>
      </c>
    </row>
    <row r="135">
      <c r="A135" s="0" cm="1">
        <f t="array" ref="A135">SUM(_xlfn.TAKE(Data!A1:A6,10))</f>
        <v>23</v>
      </c>
    </row>
    <row r="136">
      <c r="A136" s="0" cm="1">
        <f t="array" ref="A136">_xlfn.TAKE(Data!A1:A6,0)</f>
      </c>
    </row>
    <row r="137">
      <c r="A137" s="0" cm="1">
        <f t="array" ref="A137">SUM(_xlfn.DROP(Data!A1:A6,2))</f>
        <v>19</v>
      </c>
    </row>
    <row r="138">
      <c r="A138" s="0" cm="1">
        <f t="array" ref="A138">SUM(_xlfn.DROP(Data!A1:A6,-2))</f>
        <v>9</v>
      </c>
    </row>
    <row r="139">
      <c r="A139" s="0" cm="1">
        <f t="array" ref="A139">_xlfn.DROP(Data!A1:A6,6)</f>
      </c>
    </row>
    <row r="140">
      <c r="A140" s="0" cm="1">
        <f t="array" ref="A140">SUM(_xlfn.DROP(Data!E1:F3,1,1))</f>
        <v>10</v>
      </c>
    </row>
    <row r="141">
      <c r="A141" s="0" cm="1">
        <f t="array" ref="A141">COLUMNS(_xlfn.HSTACK(Data!A1:A6,Data!E1:F3))</f>
        <v>3</v>
      </c>
    </row>
    <row r="142">
      <c r="A142" s="0" cm="1">
        <f t="array" ref="A142">ROWS(_xlfn.HSTACK(Data!A1:A6,Data!E1:F3))</f>
        <v>6</v>
      </c>
    </row>
    <row r="143">
      <c r="A143" s="0" t="e" cm="1">
        <f t="array" ref="A143">INDEX(_xlfn.HSTACK(Data!A1:A6,Data!E1:F3),6,2)</f>
        <v>#N/A</v>
      </c>
    </row>
    <row r="144">
      <c r="A144" s="0" cm="1">
        <f t="array" ref="A144">INDEX(_xlfn.HSTACK(1,2),1,2)</f>
        <v>2</v>
      </c>
    </row>
    <row r="145">
      <c r="A145" s="0" cm="1">
        <f t="array" ref="A145">ROWS(_xlfn.VSTACK(Data!A1:A6,Data!E1:F3))</f>
        <v>9</v>
      </c>
    </row>
    <row r="146">
      <c r="A146" s="0" t="e" cm="1">
        <f t="array" ref="A146">INDEX(_xlfn.VSTACK(Data!A1:A6,Data!E1:F3),1,2)</f>
        <v>#N/A</v>
      </c>
    </row>
    <row r="147">
      <c r="A147" s="0" t="e" cm="1">
        <f t="array" ref="A147">INDEX(_xlfn.VSTACK({1,2},{3}),2,2)</f>
        <v>#N/A</v>
      </c>
    </row>
    <row r="148">
      <c r="A148" s="0" cm="1">
        <f t="array" ref="A148">ROWS(_xlfn.TOCOL(Data!E1:F3))</f>
        <v>6</v>
      </c>
    </row>
    <row r="149">
      <c r="A149" s="0" cm="1">
        <f t="array" ref="A149">INDEX(_xlfn.TOCOL(Data!E1:F3),2)</f>
        <v>2</v>
      </c>
    </row>
    <row r="150">
      <c r="A150" s="0" cm="1">
        <f t="array" ref="A150">INDEX(_xlfn.TOCOL(Data!E1:F3,0,TRUE),2)</f>
        <v>3</v>
      </c>
    </row>
    <row r="151">
      <c r="A151" s="0" cm="1">
        <f t="array" ref="A151">ROWS(_xlfn.TOCOL(Data!B1:B6,1))</f>
        <v>5</v>
      </c>
    </row>
    <row r="152">
      <c r="A152" s="0" cm="1">
        <f t="array" ref="A152">ROWS(_xlfn.TOCOL(Data!H1:H2,2))</f>
        <v>1</v>
      </c>
    </row>
    <row r="153">
      <c r="A153" s="0" cm="1">
        <f t="array" ref="A153">_xlfn.TOCOL(Data!B6,1)</f>
      </c>
    </row>
    <row r="154">
      <c r="A154" s="0" cm="1">
        <f t="array" ref="A154">COLUMNS(_xlfn.TOROW(Data!E1:F3))</f>
        <v>6</v>
      </c>
    </row>
    <row r="155">
      <c r="A155" s="0" cm="1">
        <f t="array" ref="A155">INDEX(_xlfn.TOROW(Data!E1:F3),1,3)</f>
        <v>3</v>
      </c>
    </row>
    <row r="156">
      <c r="A156" s="0" t="e" cm="1">
        <f t="array" ref="A156">INDEX(_xlfn.WRAPROWS(Data!A1:A6,4),2,3)</f>
        <v>#N/A</v>
      </c>
    </row>
    <row r="157">
      <c r="A157" s="0" cm="1">
        <f t="array" ref="A157">INDEX(_xlfn.WRAPROWS(Data!A1:A6,4,0),2,3)</f>
        <v>0</v>
      </c>
    </row>
    <row r="158">
      <c r="A158" s="0" t="e" cm="1">
        <f t="array" ref="A158">_xlfn.WRAPROWS(Data!E1:F3,2)</f>
        <v>#VALUE!</v>
      </c>
    </row>
    <row r="159">
      <c r="A159" s="0" t="e" cm="1">
        <f t="array" ref="A159">_xlfn.WRAPROWS(Data!A1:A6,0)</f>
        <v>#NUM!</v>
      </c>
    </row>
    <row r="160">
      <c r="A160" s="0" cm="1">
        <f t="array" ref="A160">INDEX(_xlfn.WRAPCOLS(Data!A1:A6,4),3,1)</f>
        <v>4</v>
      </c>
    </row>
    <row r="161">
      <c r="A161" s="0" cm="1">
        <f t="array" ref="A161">ROWS(_xlfn.WRAPCOLS(Data!A1:A6,4))</f>
        <v>4</v>
      </c>
    </row>
    <row r="162">
      <c r="A162" s="0" t="e" cm="1">
        <f t="array" ref="A162">INDEX(_xlfn.EXPAND(Data!E1:F3,4,3),4,3)</f>
        <v>#N/A</v>
      </c>
    </row>
    <row r="163">
      <c r="A163" s="0" t="str" cm="1">
        <f t="array" ref="A163">INDEX(_xlfn.EXPAND(Data!E1:F3,4,3,"-"),1,3)</f>
        <v>-</v>
      </c>
    </row>
    <row r="164">
      <c r="A164" s="0" t="e" cm="1">
        <f t="array" ref="A164">_xlfn.EXPAND(Data!E1:F3,2,2)</f>
        <v>#VALUE!</v>
      </c>
    </row>
    <row r="165">
      <c r="A165" s="0" cm="1">
        <f t="array" ref="A165">ROWS(_xlfn.EXPAND({1},3))</f>
        <v>3</v>
      </c>
    </row>
    <row r="166">
      <c r="A166" s="0" cm="1">
        <f t="array" ref="A166">SUM(Data!A1:A6*Data!C1:C6)+ROWS(_xlfn.SEQUENCE(1))-1</f>
        <v>1000</v>
      </c>
    </row>
    <row r="167">
      <c r="A167" s="0" cm="1">
        <f t="array" ref="A167">SUM(LEN(Data!B1:B6))+ROWS(_xlfn.SEQUENCE(1))-1</f>
        <v>21</v>
      </c>
    </row>
    <row r="168">
      <c r="A168" s="0" cm="1">
        <f t="array" ref="A168">SUM(IF(Data!A1:A6&gt;2,Data!C1:C6,0))+ROWS(_xlfn.SEQUENCE(1))-1</f>
        <v>150</v>
      </c>
    </row>
    <row r="169">
      <c r="A169" s="0" cm="1">
        <f t="array" ref="A169">SUM(ROW(Data!A1:A6))+ROWS(_xlfn.SEQUENCE(1))-1</f>
        <v>21</v>
      </c>
    </row>
    <row r="170">
      <c r="A170" s="0" cm="1">
        <f t="array" ref="A170">SUM(ISBLANK(Data!B1:B6)*1)+ROWS(_xlfn.SEQUENCE(1))-1</f>
        <v>1</v>
      </c>
    </row>
    <row r="171">
      <c r="A171" s="0" cm="1">
        <f t="array" ref="A171">SUM((Data!B1:B6="")*1)+ROWS(_xlfn.SEQUENCE(1))-1</f>
        <v>1</v>
      </c>
    </row>
    <row r="172">
      <c r="A172" s="0" cm="1">
        <f t="array" ref="A172">SUM(CHOOSE({1,2},Data!A1:A6,Data!C1:C6))+ROWS(_xlfn.SEQUENCE(1))-1</f>
        <v>233</v>
      </c>
    </row>
    <row r="173">
      <c r="A173" s="0" cm="1">
        <f t="array" ref="A173">MAX(INDEX(Data!A1:A6*Data!C1:C6,0,1))</f>
        <v>540</v>
      </c>
    </row>
    <row r="174">
      <c r="A174" s="0" cm="1">
        <f t="array" ref="A174">SUM(INDEX(Data!C1:C6,{1,6}))</f>
        <v>70</v>
      </c>
    </row>
    <row r="175">
      <c r="A175" s="0" cm="1">
        <f t="array" ref="A175">SUM(INDEX({10,20,30},{1,3}))</f>
        <v>40</v>
      </c>
    </row>
    <row r="176">
      <c r="A176" s="0" cm="1">
        <f t="array" ref="A176">_xlfn.SINGLE(_xlfn.SEQUENCE(3)*2)</f>
        <v>2</v>
      </c>
    </row>
    <row r="177">
      <c r="A177" s="0" cm="1">
        <f t="array" ref="A177">_xlfn.XLOOKUP(4,Data!A1:A6,Data!C1:C6)</f>
        <v>30</v>
      </c>
    </row>
    <row r="178">
      <c r="A178" s="0" cm="1">
        <f t="array" ref="A178">_xlfn.XLOOKUP(5,_xlfn.SEQUENCE(6),Data!C1:C6)</f>
        <v>50</v>
      </c>
    </row>
    <row r="179">
      <c r="A179" s="0" cm="1">
        <f t="array" ref="A179">SUM(_xlfn.XLOOKUP({1,9},Data!A1:A6,Data!C1:C6))</f>
        <v>80</v>
      </c>
    </row>
    <row r="180">
      <c r="A180" s="0" t="str" cm="1">
        <f t="array" ref="A180">_xlfn.XLOOKUP(2,{1,2,3},{"a","b","c"})</f>
        <v>b</v>
      </c>
    </row>
    <row r="181">
      <c r="A181" s="0" cm="1">
        <f t="array" ref="A181">MATCH(5,_xlfn._xlws.SORT(Data!A1:A6),0)</f>
        <v>5</v>
      </c>
    </row>
    <row r="182">
      <c r="A182" s="0" cm="1">
        <f t="array" ref="A182">VLOOKUP(4,_xlfn._xlws.SORT(Data!A1:C6),3,FALSE)</f>
        <v>30</v>
      </c>
    </row>
    <row r="183">
      <c r="A183" s="0" cm="1">
        <f t="array" ref="A183">LOOKUP(4.5,_xlfn._xlws.SORT(Data!A1:A6),_xlfn.SEQUENCE(6))</f>
        <v>4</v>
      </c>
    </row>
    <row r="184">
      <c r="A184" s="0" cm="1">
        <f t="array" ref="A184">INDEX({10,20;30,40},2,1)</f>
        <v>30</v>
      </c>
    </row>
    <row r="185">
      <c r="A185" s="0" t="str" cm="1">
        <f t="array" ref="A185">_xlfn.CONCAT(_xlfn.SEQUENCE(3))</f>
        <v>123</v>
      </c>
    </row>
    <row r="186">
      <c r="A186" s="0" t="str">
        <f>_xlfn.TEXTJOIN("-",FALSE,{"a","",TRUE})</f>
        <v>a--TRUE</v>
      </c>
    </row>
    <row r="187">
      <c r="A187" s="0" cm="1">
        <f t="array" ref="A187">SUM(Data!A1:INDEX(Data!A1:A6,3))</f>
        <v>8</v>
      </c>
    </row>
    <row r="188">
      <c r="A188" s="0" cm="1">
        <f t="array" ref="A188">SUM(INDEX(Data!A1:A6,2):INDEX(Data!A1:A6,4))</f>
        <v>6</v>
      </c>
    </row>
    <row r="189">
      <c r="A189" s="0" cm="1">
        <f t="array" ref="A189">ROWS(Data!A1:INDEX(Data!A:A,4))</f>
        <v>4</v>
      </c>
    </row>
    <row r="190">
      <c r="A190" s="0" cm="1">
        <f t="array" ref="A190">SUM(Data!A1:INDEX(Data!C1:C6,2))</f>
        <v>34</v>
      </c>
    </row>
    <row r="191">
      <c r="A191" s="0" t="e" cm="1">
        <f t="array" ref="A191">SUM(Data!A1:INDEX(Data!A1:A6,7))</f>
        <v>#REF!</v>
      </c>
    </row>
    <row r="192">
      <c r="A192" s="0">
        <f>SUM(Data!A1:IF(TRUE,Data!A3,Data!A5))</f>
        <v>8</v>
      </c>
    </row>
    <row r="193">
      <c r="A193" s="0" cm="1">
        <f t="array" ref="A193">SUM(Data!A1:CHOOSE(2,Data!A2,Data!A6))</f>
        <v>23</v>
      </c>
    </row>
    <row r="194">
      <c r="A194" s="0">
        <f>ROWS(Data!A2:Data!A5)</f>
        <v>4</v>
      </c>
    </row>
    <row r="195">
      <c r="A195" s="0" cm="1">
        <f t="array" ref="A195">SUM(_xlfn.SEQUENCE(2000000))</f>
      </c>
    </row>
    <row r="196">
      <c r="A196" s="0" t="b" cm="1">
        <f t="array" ref="A196">INDEX(_xlfn._xlws.SORT({#N/A;TRUE;1;"a"}),3)</f>
        <v>1</v>
      </c>
    </row>
    <row r="197">
      <c r="A197" s="0" t="b" cm="1">
        <f t="array" ref="A197">INDEX(_xlfn._xlws.SORT({#N/A;TRUE;1;"a"},1,-1),2)</f>
        <v>1</v>
      </c>
    </row>
    <row r="198">
      <c r="A198" s="0">
        <f>SUM(_xlfn.IFNA(MOD({5,6,7},{2,3}),100))</f>
        <v>1</v>
      </c>
    </row>
    <row r="199">
      <c r="A199" s="0" t="str" cm="1">
        <f t="array" ref="A199">_xlfn.TEXTJOIN(",",TRUE,_xlfn.SORTBY(_xlfn.SEQUENCE(40),MOD(_xlfn.SEQUENCE(40),2)))</f>
        <v>2,4,6,8,10,12,14,16,18,20,22,24,26,28,30,32,34,36,38,40,1,3,5,7,9,11,13,15,17,19,21,23,25,27,29,31,33,35,37,39</v>
      </c>
    </row>
    <row r="200">
      <c r="A200" s="0" cm="1">
        <f t="array" ref="A200">SUM(IFERROR(_xlfn.SEQUENCE(1,3)/{1,0,1},{10,20}))</f>
        <v>24</v>
      </c>
    </row>
    <row r="201">
      <c r="A201" s="0" cm="1">
        <f t="array" ref="A201">SUM(VLOOKUP(3,Data!A1:C6,_xlfn.SEQUENCE(1,2,1,2),FALSE))</f>
        <v>13</v>
      </c>
    </row>
    <row r="202">
      <c r="A202" s="0">
        <f>SUM(HLOOKUP(1,{1,2;10,20},{1,2},FALSE))</f>
        <v>1</v>
      </c>
    </row>
    <row r="203">
      <c r="A203" s="0">
        <f>SUM(VLOOKUP({3,4},Data!A1:C6,3,FALSE))</f>
        <v>10</v>
      </c>
    </row>
    <row r="204">
      <c r="A204" s="0">
        <f>SUM(MATCH({4,9},Data!A1:A6,0))</f>
        <v>9</v>
      </c>
    </row>
    <row r="205">
      <c r="A205" s="0" cm="1">
        <f t="array" ref="A205">SUM(LOOKUP({1,5},{1,5,9},{10,50,90}))</f>
        <v>60</v>
      </c>
    </row>
    <row r="206">
      <c r="A206" s="0" t="e">
        <f>SUMPRODUCT(IF(Data!A1:A6&gt;2,1,0))</f>
        <v>#VALUE!</v>
      </c>
    </row>
    <row r="207">
      <c r="A207" s="0">
        <f>SUMPRODUCT(IFERROR(1/(Data!A1:A6-1),0))</f>
        <v>0</v>
      </c>
    </row>
    <row r="208">
      <c r="A208" s="0" cm="1">
        <f t="array" ref="A208">SUM(CHOOSE({2,2,2},{10,20},5))</f>
        <v>15</v>
      </c>
    </row>
    <row r="209">
      <c r="A209" s="0" cm="1">
        <f t="array" ref="A209">SUM(IF(_xlfn.SEQUENCE(1,3)&gt;5,{1,2},7))</f>
        <v>21</v>
      </c>
    </row>
    <row r="210">
      <c r="A210" s="0" cm="1">
        <f t="array" ref="A210">SUMPRODUCT(IF(Data!A1:A6&gt;2,_xlfn.SEQUENCE(6)^0,0))</f>
        <v>4</v>
      </c>
    </row>
    <row r="211">
      <c r="A211" s="0" cm="1">
        <f t="array" ref="A211">COUNTA(_xlfn._xlws.SORT(Data!B1:B6))</f>
        <v>6</v>
      </c>
    </row>
    <row r="212">
      <c r="A212" s="0" cm="1">
        <f t="array" ref="A212">COUNT(TRANSPOSE(Data!D1:D6))</f>
        <v>3</v>
      </c>
    </row>
    <row r="213">
      <c r="A213" s="0">
        <f>LEN(_xlfn.TEXTJOIN(",",TRUE,REPT("x",20000),REPT("y",20000)))</f>
      </c>
    </row>
    <row r="214">
      <c r="A214" s="0">
        <f>LEN(_xlfn.CONCAT(REPT("x",20000),REPT("y",20000)))</f>
      </c>
    </row>
  </sheetData>
</worksheet>
</file>

<file path=docProps/app.xml><?xml version="1.0" encoding="utf-8"?>
<Properties xmlns="http://schemas.openxmlformats.org/officeDocument/2006/extended-properties">
  <Application>Frazaro</Application>
</Properties>
</file>

<file path=docProps/core.xml><?xml version="1.0" encoding="utf-8"?>
<cp:coreProperties xmlns:cp="http://schemas.openxmlformats.org/package/2006/metadata/core-properties"/>
</file>