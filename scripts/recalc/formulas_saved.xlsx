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\Documents\Code\VLA\Delta\Frazaro\scripts\recalc\"/>
    </mc:Choice>
  </mc:AlternateContent>
  <xr:revisionPtr revIDLastSave="0" documentId="8_{E6152B36-9052-4BB1-8F0E-FBA67CED8DA8}" xr6:coauthVersionLast="47" xr6:coauthVersionMax="47" xr10:uidLastSave="{00000000-0000-0000-0000-000000000000}"/>
  <bookViews>
    <workbookView xWindow="840" yWindow="290" windowWidth="15970" windowHeight="17950" activeTab="3" xr2:uid="{00000000-000D-0000-FFFF-FFFF00000000}"/>
  </bookViews>
  <sheets>
    <sheet name="Frazaro" sheetId="1" r:id="rId1"/>
    <sheet name="data" sheetId="2" r:id="rId2"/>
    <sheet name="other" sheetId="3" r:id="rId3"/>
    <sheet name="functions" sheetId="4" r:id="rId4"/>
  </sheets>
  <definedNames>
    <definedName name="Frazaro.Build">_xlfn._LONGTEXT("Frazaro 0.10.1; sentences sha256:894857320C73B24FFE589CB3C1DFDF24B756A34A5EDA26E25CDA3FF4CB9E0826 over 5219 non-whitespace bytes; prelude sha256:887F55C46AA71563EE5DE0F74E3D4DB1C0022986248AD1FBF8A7A63711AC508C over 27033 non-whitespace bytes; phrasebook 1"," sha256:5E5FF4121AA83D783E926C1A78B8E8C7C45BFE1E1184340F8D93A0285DDCB949 over 167902 non-whitespace bytes")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2" l="1" a="1"/>
  <c r="D1" i="2" s="1"/>
  <c r="A63" i="4"/>
  <c r="A62" i="4"/>
  <c r="A61" i="4"/>
  <c r="A60" i="4"/>
  <c r="A59" i="4"/>
  <c r="A58" i="4"/>
  <c r="A57" i="4"/>
  <c r="A56" i="4"/>
  <c r="A55" i="4" a="1"/>
  <c r="A54" i="4" a="1"/>
  <c r="A53" i="4" a="1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 a="1"/>
  <c r="A12" i="4"/>
  <c r="A11" i="4"/>
  <c r="A10" i="4"/>
  <c r="A9" i="4"/>
  <c r="A8" i="4"/>
  <c r="A7" i="4"/>
  <c r="A6" i="4"/>
  <c r="A5" i="4"/>
  <c r="A4" i="4"/>
  <c r="A3" i="4"/>
  <c r="A2" i="4"/>
  <c r="A1" i="4"/>
  <c r="A1" i="3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 a="1"/>
  <c r="A12" i="2"/>
  <c r="A11" i="2"/>
  <c r="A10" i="2"/>
  <c r="A9" i="2"/>
  <c r="A8" i="2"/>
  <c r="A7" i="2"/>
  <c r="A6" i="2"/>
  <c r="B4" i="2"/>
  <c r="A3" i="2"/>
  <c r="B2" i="2"/>
  <c r="B1" i="2"/>
  <c r="B3" i="2" l="1"/>
  <c r="A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<sst xmlns="http://schemas.openxmlformats.org/spreadsheetml/2006/main" count="223" uniqueCount="113">
  <si>
    <t># The formulas read by a formula's fixture (KERNEL.53): a Data sheet whose column A holds a number, a text, an</t>
  </si>
  <si>
    <t>OK</t>
  </si>
  <si>
    <t># empty cell and formulas of every kind FORMULATEXT spells (a plain one, a range read whole, a truth value, a text</t>
  </si>
  <si>
    <t># holding a quote mark, spaces, small letters, a newer function the file prefixes, a function the language does</t>
  </si>
  <si>
    <t># not hold), the legacy formulas Excel 365 may show with an @ beside those it does not, and a dynamic formula; a</t>
  </si>
  <si>
    <t># fill over B1:B4; numbers in C1:C3; and in D1 a sum, which Excel shows with no @, for the owner to enter again</t>
  </si>
  <si>
    <t># as a legacy array formula (its first formula, SUM(C1:C3*2), Excel's bar showed with an @, entered again with it). An</t>
  </si>
  <si>
    <t># Other sheet holds one formula, so that Data:Other is a span of sheets. A Functions sheet holds one formula a</t>
  </si>
  <si>
    <t># rule: ISFORMULA and FORMULATEXT of each kind of cell, a reference of many cells where one value is wanted (its</t>
  </si>
  <si>
    <t># first cell or its own row's, A3 and A5 telling them apart), the same read as arrays (SUMPRODUCT, ROWS and a</t>
  </si>
  <si>
    <t># dynamic INDEX) and handed whole to SUM and COUNTA in a legacy formula, a span of sheets, #REF!, a reference</t>
  </si>
  <si>
    <t># through INDEX and IF, and each reading its own cell. Built</t>
  </si>
  <si>
    <t># by frazaro into formulas.xlsx (each value it computes held). The owner enters Data!D1 again with Ctrl+Shift+Enter</t>
  </si>
  <si>
    <t># in Excel and saves it as formulas_saved.xlsx.</t>
  </si>
  <si>
    <t>Work on sheet Data.</t>
  </si>
  <si>
    <t>Put 10 into cell A1.</t>
  </si>
  <si>
    <t>Put "x" into cell A2.</t>
  </si>
  <si>
    <t>Put formula "=A1*2" into cell A3.</t>
  </si>
  <si>
    <t>Put formula "=SUM(A1:A3)" into cell A5.</t>
  </si>
  <si>
    <t>Put formula "=TRUE" into cell A6.</t>
  </si>
  <si>
    <t>Put formula "=""a""""b""" into cell A7.</t>
  </si>
  <si>
    <t>Put formula "=A1 + 1" into cell A8.</t>
  </si>
  <si>
    <t>Put formula "=sum(a1:a2)" into cell A9.</t>
  </si>
  <si>
    <t>Put formula "=CONCAT(""a"",""b"")" into cell A10.</t>
  </si>
  <si>
    <t>Put formula "=C1:C3" into cell A11.</t>
  </si>
  <si>
    <t>Put formula "=C1:C3*2" into cell A12.</t>
  </si>
  <si>
    <t>Put formula "=INDEX(C1:C3,2)" into cell A13.</t>
  </si>
  <si>
    <t>Put formula "=ROW(C1:C3)" into cell A14.</t>
  </si>
  <si>
    <t>Put formula "=IF(A1&gt;5,C1,C2)" into cell A15.</t>
  </si>
  <si>
    <t>Put formula "=SINGLE(C1:C3)" into cell A16.</t>
  </si>
  <si>
    <t>Put formula "=VLOOKUP(1,C1:C3,1,FALSE)" into cell A17.</t>
  </si>
  <si>
    <t>Put formula "=COUNTIF(C1:C3,""&gt;1"")" into cell A18.</t>
  </si>
  <si>
    <t>Put formula "=SUM(FACT(3))" into cell A19.</t>
  </si>
  <si>
    <t>Put formula "=LEN(C1:C3)" into cell A20.</t>
  </si>
  <si>
    <t>Put formula "=SUM(C1:C3*2)" into cell A21.</t>
  </si>
  <si>
    <t>Put formula "=SUMPRODUCT(C1:C3*2)" into cell A22.</t>
  </si>
  <si>
    <t>Put formula "=SUM(IF(A1&gt;5,C1:C3,0))" into cell A23.</t>
  </si>
  <si>
    <t>Put formula "=-C1" into cell A24.</t>
  </si>
  <si>
    <t>Put formula "=IFERROR(C1:C3,0)" into cell A25.</t>
  </si>
  <si>
    <t>Put formula "=SUM(ROW(C1:C3))" into cell A26.</t>
  </si>
  <si>
    <t>Put formula "=SUMPRODUCT(ROW(C1:C3))" into cell A27.</t>
  </si>
  <si>
    <t>Put formula "=A1+100" into range B1:B4.</t>
  </si>
  <si>
    <t>Put 1 into cell C1.</t>
  </si>
  <si>
    <t>Put 2 into cell C2.</t>
  </si>
  <si>
    <t>Put 3 into cell C3.</t>
  </si>
  <si>
    <t>Put formula "=SUM(C1:C3)" into cell D1.</t>
  </si>
  <si>
    <t>Work on sheet Other.</t>
  </si>
  <si>
    <t>Put formula "=Data!A1*3" into cell A1.</t>
  </si>
  <si>
    <t>Work on sheet Functions.</t>
  </si>
  <si>
    <t>Put formula "=ISFORMULA(Data!A1)" into cell A1.</t>
  </si>
  <si>
    <t>Put formula "=ISFORMULA(Data!A2)" into cell A2.</t>
  </si>
  <si>
    <t>Put formula "=ISFORMULA(Data!A1:A20)" into cell A3.</t>
  </si>
  <si>
    <t>Put formula "=ISFORMULA(Data!A3)" into cell A4.</t>
  </si>
  <si>
    <t>Put formula "=FORMULATEXT(Data!A1:A20)" into cell A5.</t>
  </si>
  <si>
    <t>Put formula "=ISFORMULA(Data!A4)" into cell A6.</t>
  </si>
  <si>
    <t>Put formula "=ISFORMULA(Data!A6)" into cell A7.</t>
  </si>
  <si>
    <t>Put formula "=ISFORMULA(Data!B1)" into cell A8.</t>
  </si>
  <si>
    <t>Put formula "=ISFORMULA(Data!B3)" into cell A9.</t>
  </si>
  <si>
    <t>Put formula "=ISFORMULA(Data!A13)" into cell A10.</t>
  </si>
  <si>
    <t>Put formula "=ISFORMULA(Data!D1)" into cell A11.</t>
  </si>
  <si>
    <t>Put formula "=ISFORMULA(Other!A1)" into cell A12.</t>
  </si>
  <si>
    <t>Put formula "=ISFORMULA(INDEX(Data!A1:A8,3))" into cell A13.</t>
  </si>
  <si>
    <t>Put formula "=ISFORMULA(IF(TRUE,Data!A3,Data!A1))" into cell A14.</t>
  </si>
  <si>
    <t>Put formula "=ISFORMULA(#REF!)" into cell A15.</t>
  </si>
  <si>
    <t>Put formula "=ISFORMULA(Data:Other!A1)" into cell A16.</t>
  </si>
  <si>
    <t>Put formula "=ISFORMULA(A17)" into cell A17.</t>
  </si>
  <si>
    <t>Put formula "=SUMPRODUCT(--ISFORMULA(Data!A1:A8))" into cell A18.</t>
  </si>
  <si>
    <t>Put formula "=SUMPRODUCT(--ISFORMULA(Data!A1:B4))" into cell A19.</t>
  </si>
  <si>
    <t>Put formula "=SUMPRODUCT(--ISFORMULA(Data!B:B))" into cell A20.</t>
  </si>
  <si>
    <t>Put formula "=NOT(ISFORMULA(Data!A1))" into cell A21.</t>
  </si>
  <si>
    <t>Put formula "=FORMULATEXT(Data!A1)" into cell A22.</t>
  </si>
  <si>
    <t>Put formula "=FORMULATEXT(Data!A3)" into cell A23.</t>
  </si>
  <si>
    <t>Put formula "=FORMULATEXT(Data!A4)" into cell A24.</t>
  </si>
  <si>
    <t>Put formula "=FORMULATEXT(Data!A5)" into cell A25.</t>
  </si>
  <si>
    <t>Put formula "=FORMULATEXT(Data!A6)" into cell A26.</t>
  </si>
  <si>
    <t>Put formula "=FORMULATEXT(Data!A7)" into cell A27.</t>
  </si>
  <si>
    <t>Put formula "=FORMULATEXT(Data!A8)" into cell A28.</t>
  </si>
  <si>
    <t>Put formula "=FORMULATEXT(Data!A9)" into cell A29.</t>
  </si>
  <si>
    <t>Put formula "=FORMULATEXT(Data!A10)" into cell A30.</t>
  </si>
  <si>
    <t>Put formula "=FORMULATEXT(Data!A11)" into cell A31.</t>
  </si>
  <si>
    <t>Put formula "=FORMULATEXT(Data!A12)" into cell A32.</t>
  </si>
  <si>
    <t>Put formula "=FORMULATEXT(Data!A13)" into cell A33.</t>
  </si>
  <si>
    <t>Put formula "=FORMULATEXT(Data!A14)" into cell A34.</t>
  </si>
  <si>
    <t>Put formula "=FORMULATEXT(Data!A15)" into cell A35.</t>
  </si>
  <si>
    <t>Put formula "=FORMULATEXT(Data!A16)" into cell A36.</t>
  </si>
  <si>
    <t>Put formula "=FORMULATEXT(Data!A17)" into cell A37.</t>
  </si>
  <si>
    <t>Put formula "=FORMULATEXT(Data!A18)" into cell A38.</t>
  </si>
  <si>
    <t>Put formula "=FORMULATEXT(Data!A19)" into cell A39.</t>
  </si>
  <si>
    <t>Put formula "=FORMULATEXT(Data!A20)" into cell A40.</t>
  </si>
  <si>
    <t>Put formula "=FORMULATEXT(Data!A21)" into cell A41.</t>
  </si>
  <si>
    <t>Put formula "=FORMULATEXT(Data!A22)" into cell A42.</t>
  </si>
  <si>
    <t>Put formula "=FORMULATEXT(Data!A23)" into cell A43.</t>
  </si>
  <si>
    <t>Put formula "=FORMULATEXT(Data!A24)" into cell A44.</t>
  </si>
  <si>
    <t>Put formula "=FORMULATEXT(Data!A25)" into cell A45.</t>
  </si>
  <si>
    <t>Put formula "=FORMULATEXT(Data!B1)" into cell A46.</t>
  </si>
  <si>
    <t>Put formula "=FORMULATEXT(Data!B3)" into cell A47.</t>
  </si>
  <si>
    <t>Put formula "=FORMULATEXT(Data!D1)" into cell A48.</t>
  </si>
  <si>
    <t>Put formula "=FORMULATEXT(Other!A1)" into cell A49.</t>
  </si>
  <si>
    <t>Put formula "=FORMULATEXT(Data:Other!A1)" into cell A50.</t>
  </si>
  <si>
    <t>Put formula "=FORMULATEXT(#REF!)" into cell A51.</t>
  </si>
  <si>
    <t>Put formula "=FORMULATEXT(A52)" into cell A52.</t>
  </si>
  <si>
    <t>Put formula "=FORMULATEXT(INDEX(Data!A1:A8,3))" into cell A53.</t>
  </si>
  <si>
    <t>Put formula "=INDEX(FORMULATEXT(Data!A3:B4),2,2)" into cell A54.</t>
  </si>
  <si>
    <t>Put formula "=INDEX(FORMULATEXT(Data!A3:A5),2)" into cell A55.</t>
  </si>
  <si>
    <t>Put formula "=LEN(FORMULATEXT(Data!A3))" into cell A56.</t>
  </si>
  <si>
    <t>Put formula "=ISNUMBER(SEARCH(""A1"",FORMULATEXT(Data!A3)))" into cell A57.</t>
  </si>
  <si>
    <t>Put formula "=ROWS(FORMULATEXT(Data!A1:A8))" into cell A58.</t>
  </si>
  <si>
    <t>Put formula "=FORMULATEXT(Data!A2)" into cell A59.</t>
  </si>
  <si>
    <t>Put formula "=SUM(--ISFORMULA(Data!A1:A8))" into cell A60.</t>
  </si>
  <si>
    <t>Put formula "=COUNTA(FORMULATEXT(Data!A1:A8))" into cell A61.</t>
  </si>
  <si>
    <t>Put formula "=FORMULATEXT(Data!A26)" into cell A62.</t>
  </si>
  <si>
    <t>Put formula "=FORMULATEXT(Data!A27)" into cell A63.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</si>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</sst>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7F4F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0" xfId="0" applyNumberFormat="1" applyFill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14"/>
  <sheetViews>
    <sheetView showGridLines="0" topLeftCell="B1" workbookViewId="0">
      <selection activeCell="B1" sqref="B1"/>
    </sheetView>
  </sheetViews>
  <sheetFormatPr defaultRowHeight="14.5" x14ac:dyDescent="0.35"/>
  <cols>
    <col min="1" max="1" width="0" hidden="1" customWidth="1"/>
    <col min="2" max="2" width="72.7265625" style="1" customWidth="1"/>
    <col min="3" max="3" width="60.7265625" style="2" customWidth="1"/>
  </cols>
  <sheetData>
    <row r="1" spans="2:3" x14ac:dyDescent="0.35">
      <c r="B1" s="1" t="s">
        <v>0</v>
      </c>
      <c r="C1" s="3" t="s">
        <v>1</v>
      </c>
    </row>
    <row r="2" spans="2:3" x14ac:dyDescent="0.35">
      <c r="B2" s="1" t="s">
        <v>2</v>
      </c>
      <c r="C2" s="3" t="s">
        <v>1</v>
      </c>
    </row>
    <row r="3" spans="2:3" x14ac:dyDescent="0.35">
      <c r="B3" s="1" t="s">
        <v>3</v>
      </c>
      <c r="C3" s="3" t="s">
        <v>1</v>
      </c>
    </row>
    <row r="4" spans="2:3" x14ac:dyDescent="0.35">
      <c r="B4" s="1" t="s">
        <v>4</v>
      </c>
      <c r="C4" s="3" t="s">
        <v>1</v>
      </c>
    </row>
    <row r="5" spans="2:3" x14ac:dyDescent="0.35">
      <c r="B5" s="1" t="s">
        <v>5</v>
      </c>
      <c r="C5" s="3" t="s">
        <v>1</v>
      </c>
    </row>
    <row r="6" spans="2:3" x14ac:dyDescent="0.35">
      <c r="B6" s="1" t="s">
        <v>6</v>
      </c>
      <c r="C6" s="3" t="s">
        <v>1</v>
      </c>
    </row>
    <row r="7" spans="2:3" x14ac:dyDescent="0.35">
      <c r="B7" s="1" t="s">
        <v>7</v>
      </c>
      <c r="C7" s="3" t="s">
        <v>1</v>
      </c>
    </row>
    <row r="8" spans="2:3" x14ac:dyDescent="0.35">
      <c r="B8" s="1" t="s">
        <v>8</v>
      </c>
      <c r="C8" s="3" t="s">
        <v>1</v>
      </c>
    </row>
    <row r="9" spans="2:3" x14ac:dyDescent="0.35">
      <c r="B9" s="1" t="s">
        <v>9</v>
      </c>
      <c r="C9" s="3" t="s">
        <v>1</v>
      </c>
    </row>
    <row r="10" spans="2:3" x14ac:dyDescent="0.35">
      <c r="B10" s="1" t="s">
        <v>10</v>
      </c>
      <c r="C10" s="3" t="s">
        <v>1</v>
      </c>
    </row>
    <row r="11" spans="2:3" x14ac:dyDescent="0.35">
      <c r="B11" s="1" t="s">
        <v>11</v>
      </c>
      <c r="C11" s="3" t="s">
        <v>1</v>
      </c>
    </row>
    <row r="12" spans="2:3" x14ac:dyDescent="0.35">
      <c r="B12" s="1" t="s">
        <v>12</v>
      </c>
      <c r="C12" s="3" t="s">
        <v>1</v>
      </c>
    </row>
    <row r="13" spans="2:3" x14ac:dyDescent="0.35">
      <c r="B13" s="1" t="s">
        <v>13</v>
      </c>
      <c r="C13" s="3" t="s">
        <v>1</v>
      </c>
    </row>
    <row r="15" spans="2:3" x14ac:dyDescent="0.35">
      <c r="B15" s="1" t="s">
        <v>14</v>
      </c>
      <c r="C15" s="3" t="s">
        <v>1</v>
      </c>
    </row>
    <row r="16" spans="2:3" x14ac:dyDescent="0.35">
      <c r="B16" s="1" t="s">
        <v>15</v>
      </c>
      <c r="C16" s="3" t="s">
        <v>1</v>
      </c>
    </row>
    <row r="17" spans="2:3" x14ac:dyDescent="0.35">
      <c r="B17" s="1" t="s">
        <v>16</v>
      </c>
      <c r="C17" s="3" t="s">
        <v>1</v>
      </c>
    </row>
    <row r="18" spans="2:3" x14ac:dyDescent="0.35">
      <c r="B18" s="1" t="s">
        <v>17</v>
      </c>
      <c r="C18" s="3" t="s">
        <v>1</v>
      </c>
    </row>
    <row r="19" spans="2:3" x14ac:dyDescent="0.35">
      <c r="B19" s="1" t="s">
        <v>18</v>
      </c>
      <c r="C19" s="3" t="s">
        <v>1</v>
      </c>
    </row>
    <row r="20" spans="2:3" x14ac:dyDescent="0.35">
      <c r="B20" s="1" t="s">
        <v>19</v>
      </c>
      <c r="C20" s="3" t="s">
        <v>1</v>
      </c>
    </row>
    <row r="21" spans="2:3" x14ac:dyDescent="0.35">
      <c r="B21" s="1" t="s">
        <v>20</v>
      </c>
      <c r="C21" s="3" t="s">
        <v>1</v>
      </c>
    </row>
    <row r="22" spans="2:3" x14ac:dyDescent="0.35">
      <c r="B22" s="1" t="s">
        <v>21</v>
      </c>
      <c r="C22" s="3" t="s">
        <v>1</v>
      </c>
    </row>
    <row r="23" spans="2:3" x14ac:dyDescent="0.35">
      <c r="B23" s="1" t="s">
        <v>22</v>
      </c>
      <c r="C23" s="3" t="s">
        <v>1</v>
      </c>
    </row>
    <row r="24" spans="2:3" x14ac:dyDescent="0.35">
      <c r="B24" s="1" t="s">
        <v>23</v>
      </c>
      <c r="C24" s="3" t="s">
        <v>1</v>
      </c>
    </row>
    <row r="25" spans="2:3" x14ac:dyDescent="0.35">
      <c r="B25" s="1" t="s">
        <v>24</v>
      </c>
      <c r="C25" s="3" t="s">
        <v>1</v>
      </c>
    </row>
    <row r="26" spans="2:3" x14ac:dyDescent="0.35">
      <c r="B26" s="1" t="s">
        <v>25</v>
      </c>
      <c r="C26" s="3" t="s">
        <v>1</v>
      </c>
    </row>
    <row r="27" spans="2:3" x14ac:dyDescent="0.35">
      <c r="B27" s="1" t="s">
        <v>26</v>
      </c>
      <c r="C27" s="3" t="s">
        <v>1</v>
      </c>
    </row>
    <row r="28" spans="2:3" x14ac:dyDescent="0.35">
      <c r="B28" s="1" t="s">
        <v>27</v>
      </c>
      <c r="C28" s="3" t="s">
        <v>1</v>
      </c>
    </row>
    <row r="29" spans="2:3" x14ac:dyDescent="0.35">
      <c r="B29" s="1" t="s">
        <v>28</v>
      </c>
      <c r="C29" s="3" t="s">
        <v>1</v>
      </c>
    </row>
    <row r="30" spans="2:3" x14ac:dyDescent="0.35">
      <c r="B30" s="1" t="s">
        <v>29</v>
      </c>
      <c r="C30" s="3" t="s">
        <v>1</v>
      </c>
    </row>
    <row r="31" spans="2:3" x14ac:dyDescent="0.35">
      <c r="B31" s="1" t="s">
        <v>30</v>
      </c>
      <c r="C31" s="3" t="s">
        <v>1</v>
      </c>
    </row>
    <row r="32" spans="2:3" x14ac:dyDescent="0.35">
      <c r="B32" s="1" t="s">
        <v>31</v>
      </c>
      <c r="C32" s="3" t="s">
        <v>1</v>
      </c>
    </row>
    <row r="33" spans="2:3" x14ac:dyDescent="0.35">
      <c r="B33" s="1" t="s">
        <v>32</v>
      </c>
      <c r="C33" s="3" t="s">
        <v>1</v>
      </c>
    </row>
    <row r="34" spans="2:3" x14ac:dyDescent="0.35">
      <c r="B34" s="1" t="s">
        <v>33</v>
      </c>
      <c r="C34" s="3" t="s">
        <v>1</v>
      </c>
    </row>
    <row r="35" spans="2:3" x14ac:dyDescent="0.35">
      <c r="B35" s="1" t="s">
        <v>34</v>
      </c>
      <c r="C35" s="3" t="s">
        <v>1</v>
      </c>
    </row>
    <row r="36" spans="2:3" x14ac:dyDescent="0.35">
      <c r="B36" s="1" t="s">
        <v>35</v>
      </c>
      <c r="C36" s="3" t="s">
        <v>1</v>
      </c>
    </row>
    <row r="37" spans="2:3" x14ac:dyDescent="0.35">
      <c r="B37" s="1" t="s">
        <v>36</v>
      </c>
      <c r="C37" s="3" t="s">
        <v>1</v>
      </c>
    </row>
    <row r="38" spans="2:3" x14ac:dyDescent="0.35">
      <c r="B38" s="1" t="s">
        <v>37</v>
      </c>
      <c r="C38" s="3" t="s">
        <v>1</v>
      </c>
    </row>
    <row r="39" spans="2:3" x14ac:dyDescent="0.35">
      <c r="B39" s="1" t="s">
        <v>38</v>
      </c>
      <c r="C39" s="3" t="s">
        <v>1</v>
      </c>
    </row>
    <row r="40" spans="2:3" x14ac:dyDescent="0.35">
      <c r="B40" s="1" t="s">
        <v>39</v>
      </c>
      <c r="C40" s="3" t="s">
        <v>1</v>
      </c>
    </row>
    <row r="41" spans="2:3" x14ac:dyDescent="0.35">
      <c r="B41" s="1" t="s">
        <v>40</v>
      </c>
      <c r="C41" s="3" t="s">
        <v>1</v>
      </c>
    </row>
    <row r="42" spans="2:3" x14ac:dyDescent="0.35">
      <c r="B42" s="1" t="s">
        <v>41</v>
      </c>
      <c r="C42" s="3" t="s">
        <v>1</v>
      </c>
    </row>
    <row r="43" spans="2:3" x14ac:dyDescent="0.35">
      <c r="B43" s="1" t="s">
        <v>42</v>
      </c>
      <c r="C43" s="3" t="s">
        <v>1</v>
      </c>
    </row>
    <row r="44" spans="2:3" x14ac:dyDescent="0.35">
      <c r="B44" s="1" t="s">
        <v>43</v>
      </c>
      <c r="C44" s="3" t="s">
        <v>1</v>
      </c>
    </row>
    <row r="45" spans="2:3" x14ac:dyDescent="0.35">
      <c r="B45" s="1" t="s">
        <v>44</v>
      </c>
      <c r="C45" s="3" t="s">
        <v>1</v>
      </c>
    </row>
    <row r="46" spans="2:3" x14ac:dyDescent="0.35">
      <c r="B46" s="1" t="s">
        <v>45</v>
      </c>
      <c r="C46" s="3" t="s">
        <v>1</v>
      </c>
    </row>
    <row r="48" spans="2:3" x14ac:dyDescent="0.35">
      <c r="B48" s="1" t="s">
        <v>46</v>
      </c>
      <c r="C48" s="3" t="s">
        <v>1</v>
      </c>
    </row>
    <row r="49" spans="2:3" x14ac:dyDescent="0.35">
      <c r="B49" s="1" t="s">
        <v>47</v>
      </c>
      <c r="C49" s="3" t="s">
        <v>1</v>
      </c>
    </row>
    <row r="51" spans="2:3" x14ac:dyDescent="0.35">
      <c r="B51" s="1" t="s">
        <v>48</v>
      </c>
      <c r="C51" s="3" t="s">
        <v>1</v>
      </c>
    </row>
    <row r="52" spans="2:3" x14ac:dyDescent="0.35">
      <c r="B52" s="1" t="s">
        <v>49</v>
      </c>
      <c r="C52" s="3" t="s">
        <v>1</v>
      </c>
    </row>
    <row r="53" spans="2:3" x14ac:dyDescent="0.35">
      <c r="B53" s="1" t="s">
        <v>50</v>
      </c>
      <c r="C53" s="3" t="s">
        <v>1</v>
      </c>
    </row>
    <row r="54" spans="2:3" x14ac:dyDescent="0.35">
      <c r="B54" s="1" t="s">
        <v>51</v>
      </c>
      <c r="C54" s="3" t="s">
        <v>1</v>
      </c>
    </row>
    <row r="55" spans="2:3" x14ac:dyDescent="0.35">
      <c r="B55" s="1" t="s">
        <v>52</v>
      </c>
      <c r="C55" s="3" t="s">
        <v>1</v>
      </c>
    </row>
    <row r="56" spans="2:3" x14ac:dyDescent="0.35">
      <c r="B56" s="1" t="s">
        <v>53</v>
      </c>
      <c r="C56" s="3" t="s">
        <v>1</v>
      </c>
    </row>
    <row r="57" spans="2:3" x14ac:dyDescent="0.35">
      <c r="B57" s="1" t="s">
        <v>54</v>
      </c>
      <c r="C57" s="3" t="s">
        <v>1</v>
      </c>
    </row>
    <row r="58" spans="2:3" x14ac:dyDescent="0.35">
      <c r="B58" s="1" t="s">
        <v>55</v>
      </c>
      <c r="C58" s="3" t="s">
        <v>1</v>
      </c>
    </row>
    <row r="59" spans="2:3" x14ac:dyDescent="0.35">
      <c r="B59" s="1" t="s">
        <v>56</v>
      </c>
      <c r="C59" s="3" t="s">
        <v>1</v>
      </c>
    </row>
    <row r="60" spans="2:3" x14ac:dyDescent="0.35">
      <c r="B60" s="1" t="s">
        <v>57</v>
      </c>
      <c r="C60" s="3" t="s">
        <v>1</v>
      </c>
    </row>
    <row r="61" spans="2:3" x14ac:dyDescent="0.35">
      <c r="B61" s="1" t="s">
        <v>58</v>
      </c>
      <c r="C61" s="3" t="s">
        <v>1</v>
      </c>
    </row>
    <row r="62" spans="2:3" x14ac:dyDescent="0.35">
      <c r="B62" s="1" t="s">
        <v>59</v>
      </c>
      <c r="C62" s="3" t="s">
        <v>1</v>
      </c>
    </row>
    <row r="63" spans="2:3" x14ac:dyDescent="0.35">
      <c r="B63" s="1" t="s">
        <v>60</v>
      </c>
      <c r="C63" s="3" t="s">
        <v>1</v>
      </c>
    </row>
    <row r="64" spans="2:3" x14ac:dyDescent="0.35">
      <c r="B64" s="1" t="s">
        <v>61</v>
      </c>
      <c r="C64" s="3" t="s">
        <v>1</v>
      </c>
    </row>
    <row r="65" spans="2:3" x14ac:dyDescent="0.35">
      <c r="B65" s="1" t="s">
        <v>62</v>
      </c>
      <c r="C65" s="3" t="s">
        <v>1</v>
      </c>
    </row>
    <row r="66" spans="2:3" x14ac:dyDescent="0.35">
      <c r="B66" s="1" t="s">
        <v>63</v>
      </c>
      <c r="C66" s="3" t="s">
        <v>1</v>
      </c>
    </row>
    <row r="67" spans="2:3" x14ac:dyDescent="0.35">
      <c r="B67" s="1" t="s">
        <v>64</v>
      </c>
      <c r="C67" s="3" t="s">
        <v>1</v>
      </c>
    </row>
    <row r="68" spans="2:3" x14ac:dyDescent="0.35">
      <c r="B68" s="1" t="s">
        <v>65</v>
      </c>
      <c r="C68" s="3" t="s">
        <v>1</v>
      </c>
    </row>
    <row r="69" spans="2:3" x14ac:dyDescent="0.35">
      <c r="B69" s="1" t="s">
        <v>66</v>
      </c>
      <c r="C69" s="3" t="s">
        <v>1</v>
      </c>
    </row>
    <row r="70" spans="2:3" x14ac:dyDescent="0.35">
      <c r="B70" s="1" t="s">
        <v>67</v>
      </c>
      <c r="C70" s="3" t="s">
        <v>1</v>
      </c>
    </row>
    <row r="71" spans="2:3" x14ac:dyDescent="0.35">
      <c r="B71" s="1" t="s">
        <v>68</v>
      </c>
      <c r="C71" s="3" t="s">
        <v>1</v>
      </c>
    </row>
    <row r="72" spans="2:3" x14ac:dyDescent="0.35">
      <c r="B72" s="1" t="s">
        <v>69</v>
      </c>
      <c r="C72" s="3" t="s">
        <v>1</v>
      </c>
    </row>
    <row r="73" spans="2:3" x14ac:dyDescent="0.35">
      <c r="B73" s="1" t="s">
        <v>70</v>
      </c>
      <c r="C73" s="3" t="s">
        <v>1</v>
      </c>
    </row>
    <row r="74" spans="2:3" x14ac:dyDescent="0.35">
      <c r="B74" s="1" t="s">
        <v>71</v>
      </c>
      <c r="C74" s="3" t="s">
        <v>1</v>
      </c>
    </row>
    <row r="75" spans="2:3" x14ac:dyDescent="0.35">
      <c r="B75" s="1" t="s">
        <v>72</v>
      </c>
      <c r="C75" s="3" t="s">
        <v>1</v>
      </c>
    </row>
    <row r="76" spans="2:3" x14ac:dyDescent="0.35">
      <c r="B76" s="1" t="s">
        <v>73</v>
      </c>
      <c r="C76" s="3" t="s">
        <v>1</v>
      </c>
    </row>
    <row r="77" spans="2:3" x14ac:dyDescent="0.35">
      <c r="B77" s="1" t="s">
        <v>74</v>
      </c>
      <c r="C77" s="3" t="s">
        <v>1</v>
      </c>
    </row>
    <row r="78" spans="2:3" x14ac:dyDescent="0.35">
      <c r="B78" s="1" t="s">
        <v>75</v>
      </c>
      <c r="C78" s="3" t="s">
        <v>1</v>
      </c>
    </row>
    <row r="79" spans="2:3" x14ac:dyDescent="0.35">
      <c r="B79" s="1" t="s">
        <v>76</v>
      </c>
      <c r="C79" s="3" t="s">
        <v>1</v>
      </c>
    </row>
    <row r="80" spans="2:3" x14ac:dyDescent="0.35">
      <c r="B80" s="1" t="s">
        <v>77</v>
      </c>
      <c r="C80" s="3" t="s">
        <v>1</v>
      </c>
    </row>
    <row r="81" spans="2:3" x14ac:dyDescent="0.35">
      <c r="B81" s="1" t="s">
        <v>78</v>
      </c>
      <c r="C81" s="3" t="s">
        <v>1</v>
      </c>
    </row>
    <row r="82" spans="2:3" x14ac:dyDescent="0.35">
      <c r="B82" s="1" t="s">
        <v>79</v>
      </c>
      <c r="C82" s="3" t="s">
        <v>1</v>
      </c>
    </row>
    <row r="83" spans="2:3" x14ac:dyDescent="0.35">
      <c r="B83" s="1" t="s">
        <v>80</v>
      </c>
      <c r="C83" s="3" t="s">
        <v>1</v>
      </c>
    </row>
    <row r="84" spans="2:3" x14ac:dyDescent="0.35">
      <c r="B84" s="1" t="s">
        <v>81</v>
      </c>
      <c r="C84" s="3" t="s">
        <v>1</v>
      </c>
    </row>
    <row r="85" spans="2:3" x14ac:dyDescent="0.35">
      <c r="B85" s="1" t="s">
        <v>82</v>
      </c>
      <c r="C85" s="3" t="s">
        <v>1</v>
      </c>
    </row>
    <row r="86" spans="2:3" x14ac:dyDescent="0.35">
      <c r="B86" s="1" t="s">
        <v>83</v>
      </c>
      <c r="C86" s="3" t="s">
        <v>1</v>
      </c>
    </row>
    <row r="87" spans="2:3" x14ac:dyDescent="0.35">
      <c r="B87" s="1" t="s">
        <v>84</v>
      </c>
      <c r="C87" s="3" t="s">
        <v>1</v>
      </c>
    </row>
    <row r="88" spans="2:3" x14ac:dyDescent="0.35">
      <c r="B88" s="1" t="s">
        <v>85</v>
      </c>
      <c r="C88" s="3" t="s">
        <v>1</v>
      </c>
    </row>
    <row r="89" spans="2:3" x14ac:dyDescent="0.35">
      <c r="B89" s="1" t="s">
        <v>86</v>
      </c>
      <c r="C89" s="3" t="s">
        <v>1</v>
      </c>
    </row>
    <row r="90" spans="2:3" x14ac:dyDescent="0.35">
      <c r="B90" s="1" t="s">
        <v>87</v>
      </c>
      <c r="C90" s="3" t="s">
        <v>1</v>
      </c>
    </row>
    <row r="91" spans="2:3" x14ac:dyDescent="0.35">
      <c r="B91" s="1" t="s">
        <v>88</v>
      </c>
      <c r="C91" s="3" t="s">
        <v>1</v>
      </c>
    </row>
    <row r="92" spans="2:3" x14ac:dyDescent="0.35">
      <c r="B92" s="1" t="s">
        <v>89</v>
      </c>
      <c r="C92" s="3" t="s">
        <v>1</v>
      </c>
    </row>
    <row r="93" spans="2:3" x14ac:dyDescent="0.35">
      <c r="B93" s="1" t="s">
        <v>90</v>
      </c>
      <c r="C93" s="3" t="s">
        <v>1</v>
      </c>
    </row>
    <row r="94" spans="2:3" x14ac:dyDescent="0.35">
      <c r="B94" s="1" t="s">
        <v>91</v>
      </c>
      <c r="C94" s="3" t="s">
        <v>1</v>
      </c>
    </row>
    <row r="95" spans="2:3" x14ac:dyDescent="0.35">
      <c r="B95" s="1" t="s">
        <v>92</v>
      </c>
      <c r="C95" s="3" t="s">
        <v>1</v>
      </c>
    </row>
    <row r="96" spans="2:3" x14ac:dyDescent="0.35">
      <c r="B96" s="1" t="s">
        <v>93</v>
      </c>
      <c r="C96" s="3" t="s">
        <v>1</v>
      </c>
    </row>
    <row r="97" spans="2:3" x14ac:dyDescent="0.35">
      <c r="B97" s="1" t="s">
        <v>94</v>
      </c>
      <c r="C97" s="3" t="s">
        <v>1</v>
      </c>
    </row>
    <row r="98" spans="2:3" x14ac:dyDescent="0.35">
      <c r="B98" s="1" t="s">
        <v>95</v>
      </c>
      <c r="C98" s="3" t="s">
        <v>1</v>
      </c>
    </row>
    <row r="99" spans="2:3" x14ac:dyDescent="0.35">
      <c r="B99" s="1" t="s">
        <v>96</v>
      </c>
      <c r="C99" s="3" t="s">
        <v>1</v>
      </c>
    </row>
    <row r="100" spans="2:3" x14ac:dyDescent="0.35">
      <c r="B100" s="1" t="s">
        <v>97</v>
      </c>
      <c r="C100" s="3" t="s">
        <v>1</v>
      </c>
    </row>
    <row r="101" spans="2:3" x14ac:dyDescent="0.35">
      <c r="B101" s="1" t="s">
        <v>98</v>
      </c>
      <c r="C101" s="3" t="s">
        <v>1</v>
      </c>
    </row>
    <row r="102" spans="2:3" x14ac:dyDescent="0.35">
      <c r="B102" s="1" t="s">
        <v>99</v>
      </c>
      <c r="C102" s="3" t="s">
        <v>1</v>
      </c>
    </row>
    <row r="103" spans="2:3" x14ac:dyDescent="0.35">
      <c r="B103" s="1" t="s">
        <v>100</v>
      </c>
      <c r="C103" s="3" t="s">
        <v>1</v>
      </c>
    </row>
    <row r="104" spans="2:3" x14ac:dyDescent="0.35">
      <c r="B104" s="1" t="s">
        <v>101</v>
      </c>
      <c r="C104" s="3" t="s">
        <v>1</v>
      </c>
    </row>
    <row r="105" spans="2:3" x14ac:dyDescent="0.35">
      <c r="B105" s="1" t="s">
        <v>102</v>
      </c>
      <c r="C105" s="3" t="s">
        <v>1</v>
      </c>
    </row>
    <row r="106" spans="2:3" x14ac:dyDescent="0.35">
      <c r="B106" s="1" t="s">
        <v>103</v>
      </c>
      <c r="C106" s="3" t="s">
        <v>1</v>
      </c>
    </row>
    <row r="107" spans="2:3" x14ac:dyDescent="0.35">
      <c r="B107" s="1" t="s">
        <v>104</v>
      </c>
      <c r="C107" s="3" t="s">
        <v>1</v>
      </c>
    </row>
    <row r="108" spans="2:3" x14ac:dyDescent="0.35">
      <c r="B108" s="1" t="s">
        <v>105</v>
      </c>
      <c r="C108" s="3" t="s">
        <v>1</v>
      </c>
    </row>
    <row r="109" spans="2:3" x14ac:dyDescent="0.35">
      <c r="B109" s="1" t="s">
        <v>106</v>
      </c>
      <c r="C109" s="3" t="s">
        <v>1</v>
      </c>
    </row>
    <row r="110" spans="2:3" x14ac:dyDescent="0.35">
      <c r="B110" s="1" t="s">
        <v>107</v>
      </c>
      <c r="C110" s="3" t="s">
        <v>1</v>
      </c>
    </row>
    <row r="111" spans="2:3" x14ac:dyDescent="0.35">
      <c r="B111" s="1" t="s">
        <v>108</v>
      </c>
      <c r="C111" s="3" t="s">
        <v>1</v>
      </c>
    </row>
    <row r="112" spans="2:3" x14ac:dyDescent="0.35">
      <c r="B112" s="1" t="s">
        <v>109</v>
      </c>
      <c r="C112" s="3" t="s">
        <v>1</v>
      </c>
    </row>
    <row r="113" spans="2:3" x14ac:dyDescent="0.35">
      <c r="B113" s="1" t="s">
        <v>110</v>
      </c>
      <c r="C113" s="3" t="s">
        <v>1</v>
      </c>
    </row>
    <row r="114" spans="2:3" x14ac:dyDescent="0.35">
      <c r="B114" s="1" t="s">
        <v>111</v>
      </c>
      <c r="C114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workbookViewId="0">
      <selection activeCell="D1" sqref="D1"/>
    </sheetView>
  </sheetViews>
  <sheetFormatPr defaultRowHeight="14.5" x14ac:dyDescent="0.35"/>
  <sheetData>
    <row r="1" spans="1:4" x14ac:dyDescent="0.35">
      <c r="A1">
        <v>10</v>
      </c>
      <c r="B1">
        <f t="shared" ref="B1:B4" si="0">A1+100</f>
        <v>110</v>
      </c>
      <c r="C1">
        <v>1</v>
      </c>
      <c r="D1">
        <f t="array" ref="D1">SUM(C1:C3)</f>
        <v>6</v>
      </c>
    </row>
    <row r="2" spans="1:4" x14ac:dyDescent="0.35">
      <c r="A2" t="s">
        <v>112</v>
      </c>
      <c r="B2" t="e">
        <f t="shared" si="0"/>
        <v>#VALUE!</v>
      </c>
      <c r="C2">
        <v>2</v>
      </c>
    </row>
    <row r="3" spans="1:4" x14ac:dyDescent="0.35">
      <c r="A3">
        <f>A1*2</f>
        <v>20</v>
      </c>
      <c r="B3">
        <f t="shared" si="0"/>
        <v>120</v>
      </c>
      <c r="C3">
        <v>3</v>
      </c>
    </row>
    <row r="4" spans="1:4" x14ac:dyDescent="0.35">
      <c r="B4">
        <f t="shared" si="0"/>
        <v>100</v>
      </c>
    </row>
    <row r="5" spans="1:4" x14ac:dyDescent="0.35">
      <c r="A5">
        <f>SUM(A1:A3)</f>
        <v>30</v>
      </c>
    </row>
    <row r="6" spans="1:4" x14ac:dyDescent="0.35">
      <c r="A6" t="b">
        <f>TRUE</f>
        <v>1</v>
      </c>
    </row>
    <row r="7" spans="1:4" x14ac:dyDescent="0.35">
      <c r="A7" t="str">
        <f>"a""b"</f>
        <v>a"b</v>
      </c>
    </row>
    <row r="8" spans="1:4" x14ac:dyDescent="0.35">
      <c r="A8">
        <f>A1 + 1</f>
        <v>11</v>
      </c>
    </row>
    <row r="9" spans="1:4" x14ac:dyDescent="0.35">
      <c r="A9">
        <f>SUM(A1:A2)</f>
        <v>10</v>
      </c>
    </row>
    <row r="10" spans="1:4" x14ac:dyDescent="0.35">
      <c r="A10" t="str">
        <f>_xlfn.CONCAT("a","b")</f>
        <v>ab</v>
      </c>
    </row>
    <row r="11" spans="1:4" x14ac:dyDescent="0.35">
      <c r="A11" t="e">
        <f>C1:C3</f>
        <v>#VALUE!</v>
      </c>
    </row>
    <row r="12" spans="1:4" x14ac:dyDescent="0.35">
      <c r="A12" t="e">
        <f>C1:C3*2</f>
        <v>#VALUE!</v>
      </c>
    </row>
    <row r="13" spans="1:4" x14ac:dyDescent="0.35">
      <c r="A13" cm="1">
        <f t="array" ref="A13">INDEX(C1:C3,2)</f>
        <v>2</v>
      </c>
    </row>
    <row r="14" spans="1:4" x14ac:dyDescent="0.35">
      <c r="A14">
        <f>ROW(C1:C3)</f>
        <v>1</v>
      </c>
    </row>
    <row r="15" spans="1:4" x14ac:dyDescent="0.35">
      <c r="A15">
        <f>IF(A1&gt;5,C1,C2)</f>
        <v>1</v>
      </c>
    </row>
    <row r="16" spans="1:4" x14ac:dyDescent="0.35">
      <c r="A16" t="e">
        <f>C1:C3</f>
        <v>#VALUE!</v>
      </c>
    </row>
    <row r="17" spans="1:1" x14ac:dyDescent="0.35">
      <c r="A17">
        <f>VLOOKUP(1,C1:C3,1,FALSE)</f>
        <v>1</v>
      </c>
    </row>
    <row r="18" spans="1:1" x14ac:dyDescent="0.35">
      <c r="A18">
        <f>COUNTIF(C1:C3,"&gt;1")</f>
        <v>2</v>
      </c>
    </row>
    <row r="19" spans="1:1" x14ac:dyDescent="0.35">
      <c r="A19">
        <f>SUM(FACT(3))</f>
        <v>6</v>
      </c>
    </row>
    <row r="20" spans="1:1" x14ac:dyDescent="0.35">
      <c r="A20" t="e">
        <f>LEN(C1:C3)</f>
        <v>#VALUE!</v>
      </c>
    </row>
    <row r="21" spans="1:1" x14ac:dyDescent="0.35">
      <c r="A21" t="e">
        <f>SUM(C1:C3*2)</f>
        <v>#VALUE!</v>
      </c>
    </row>
    <row r="22" spans="1:1" x14ac:dyDescent="0.35">
      <c r="A22">
        <f>SUMPRODUCT(C1:C3*2)</f>
        <v>12</v>
      </c>
    </row>
    <row r="23" spans="1:1" x14ac:dyDescent="0.35">
      <c r="A23">
        <f>SUM(IF(A1&gt;5,C1:C3,0))</f>
        <v>6</v>
      </c>
    </row>
    <row r="24" spans="1:1" x14ac:dyDescent="0.35">
      <c r="A24">
        <f>-C1</f>
        <v>-1</v>
      </c>
    </row>
    <row r="25" spans="1:1" x14ac:dyDescent="0.35">
      <c r="A25">
        <f>IFERROR(C1:C3,0)</f>
        <v>0</v>
      </c>
    </row>
    <row r="26" spans="1:1" x14ac:dyDescent="0.35">
      <c r="A26">
        <f>SUM(ROW(C1:C3))</f>
        <v>1</v>
      </c>
    </row>
    <row r="27" spans="1:1" x14ac:dyDescent="0.35">
      <c r="A27">
        <f>SUMPRODUCT(ROW(C1:C3))</f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>
    <row r="1" spans="1:1" x14ac:dyDescent="0.35">
      <c r="A1">
        <f>data!A1*3</f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3"/>
  <sheetViews>
    <sheetView tabSelected="1" workbookViewId="0">
      <selection activeCell="B27" sqref="B27"/>
    </sheetView>
  </sheetViews>
  <sheetFormatPr defaultRowHeight="14.5" x14ac:dyDescent="0.35"/>
  <cols>
    <col min="1" max="1" width="25.7265625" bestFit="1" customWidth="1"/>
  </cols>
  <sheetData>
    <row r="1" spans="1:1" x14ac:dyDescent="0.35">
      <c r="A1" t="b">
        <f>_xlfn.ISFORMULA(data!A1)</f>
        <v>0</v>
      </c>
    </row>
    <row r="2" spans="1:1" x14ac:dyDescent="0.35">
      <c r="A2" t="b">
        <f>_xlfn.ISFORMULA(data!A2)</f>
        <v>0</v>
      </c>
    </row>
    <row r="3" spans="1:1" x14ac:dyDescent="0.35">
      <c r="A3" t="b">
        <f>_xlfn.ISFORMULA(data!A1:A20)</f>
        <v>0</v>
      </c>
    </row>
    <row r="4" spans="1:1" x14ac:dyDescent="0.35">
      <c r="A4" t="b">
        <f>_xlfn.ISFORMULA(data!A3)</f>
        <v>1</v>
      </c>
    </row>
    <row r="5" spans="1:1" x14ac:dyDescent="0.35">
      <c r="A5" t="e">
        <f ca="1">_xlfn.FORMULATEXT(data!A1:A20)</f>
        <v>#N/A</v>
      </c>
    </row>
    <row r="6" spans="1:1" x14ac:dyDescent="0.35">
      <c r="A6" t="b">
        <f>_xlfn.ISFORMULA(data!A4)</f>
        <v>0</v>
      </c>
    </row>
    <row r="7" spans="1:1" x14ac:dyDescent="0.35">
      <c r="A7" t="b">
        <f>_xlfn.ISFORMULA(data!A6)</f>
        <v>1</v>
      </c>
    </row>
    <row r="8" spans="1:1" x14ac:dyDescent="0.35">
      <c r="A8" t="b">
        <f>_xlfn.ISFORMULA(data!B1)</f>
        <v>1</v>
      </c>
    </row>
    <row r="9" spans="1:1" x14ac:dyDescent="0.35">
      <c r="A9" t="b">
        <f>_xlfn.ISFORMULA(data!B3)</f>
        <v>1</v>
      </c>
    </row>
    <row r="10" spans="1:1" x14ac:dyDescent="0.35">
      <c r="A10" t="b">
        <f>_xlfn.ISFORMULA(data!A13)</f>
        <v>1</v>
      </c>
    </row>
    <row r="11" spans="1:1" x14ac:dyDescent="0.35">
      <c r="A11" t="b">
        <f>_xlfn.ISFORMULA(data!D1)</f>
        <v>1</v>
      </c>
    </row>
    <row r="12" spans="1:1" x14ac:dyDescent="0.35">
      <c r="A12" t="b">
        <f>_xlfn.ISFORMULA(other!A1)</f>
        <v>1</v>
      </c>
    </row>
    <row r="13" spans="1:1" x14ac:dyDescent="0.35">
      <c r="A13" t="b" cm="1">
        <f t="array" ref="A13">_xlfn.ISFORMULA(INDEX(data!A1:A8,3))</f>
        <v>1</v>
      </c>
    </row>
    <row r="14" spans="1:1" x14ac:dyDescent="0.35">
      <c r="A14" t="b">
        <f>_xlfn.ISFORMULA(IF(TRUE,data!A3,data!A1))</f>
        <v>1</v>
      </c>
    </row>
    <row r="15" spans="1:1" x14ac:dyDescent="0.35">
      <c r="A15" t="e">
        <f>_xlfn.ISFORMULA(#REF!)</f>
        <v>#REF!</v>
      </c>
    </row>
    <row r="16" spans="1:1" x14ac:dyDescent="0.35">
      <c r="A16" t="e">
        <f>_xlfn.ISFORMULA(data:other!A1)</f>
        <v>#VALUE!</v>
      </c>
    </row>
    <row r="17" spans="1:1" x14ac:dyDescent="0.35">
      <c r="A17" t="b">
        <f>_xlfn.ISFORMULA(A17)</f>
        <v>1</v>
      </c>
    </row>
    <row r="18" spans="1:1" x14ac:dyDescent="0.35">
      <c r="A18">
        <f>SUMPRODUCT(--_xlfn.ISFORMULA(data!A1:A8))</f>
        <v>5</v>
      </c>
    </row>
    <row r="19" spans="1:1" x14ac:dyDescent="0.35">
      <c r="A19">
        <f>SUMPRODUCT(--_xlfn.ISFORMULA(data!A1:B4))</f>
        <v>5</v>
      </c>
    </row>
    <row r="20" spans="1:1" x14ac:dyDescent="0.35">
      <c r="A20">
        <f>SUMPRODUCT(--_xlfn.ISFORMULA(data!B:B))</f>
        <v>4</v>
      </c>
    </row>
    <row r="21" spans="1:1" x14ac:dyDescent="0.35">
      <c r="A21" t="b">
        <f>NOT(_xlfn.ISFORMULA(data!A1))</f>
        <v>1</v>
      </c>
    </row>
    <row r="22" spans="1:1" x14ac:dyDescent="0.35">
      <c r="A22" t="e">
        <f ca="1">_xlfn.FORMULATEXT(data!A1)</f>
        <v>#N/A</v>
      </c>
    </row>
    <row r="23" spans="1:1" x14ac:dyDescent="0.35">
      <c r="A23" t="str">
        <f ca="1">_xlfn.FORMULATEXT(data!A3)</f>
        <v>=A1*2</v>
      </c>
    </row>
    <row r="24" spans="1:1" x14ac:dyDescent="0.35">
      <c r="A24" t="e">
        <f ca="1">_xlfn.FORMULATEXT(data!A4)</f>
        <v>#N/A</v>
      </c>
    </row>
    <row r="25" spans="1:1" x14ac:dyDescent="0.35">
      <c r="A25" t="str">
        <f ca="1">_xlfn.FORMULATEXT(data!A5)</f>
        <v>=SUM(A1:A3)</v>
      </c>
    </row>
    <row r="26" spans="1:1" x14ac:dyDescent="0.35">
      <c r="A26" t="str">
        <f ca="1">_xlfn.FORMULATEXT(data!A6)</f>
        <v>=TRUE</v>
      </c>
    </row>
    <row r="27" spans="1:1" x14ac:dyDescent="0.35">
      <c r="A27" t="str">
        <f ca="1">_xlfn.FORMULATEXT(data!A7)</f>
        <v>="a""b"</v>
      </c>
    </row>
    <row r="28" spans="1:1" x14ac:dyDescent="0.35">
      <c r="A28" t="str">
        <f ca="1">_xlfn.FORMULATEXT(data!A8)</f>
        <v>=A1 + 1</v>
      </c>
    </row>
    <row r="29" spans="1:1" x14ac:dyDescent="0.35">
      <c r="A29" t="str">
        <f ca="1">_xlfn.FORMULATEXT(data!A9)</f>
        <v>=SUM(A1:A2)</v>
      </c>
    </row>
    <row r="30" spans="1:1" x14ac:dyDescent="0.35">
      <c r="A30" t="str">
        <f ca="1">_xlfn.FORMULATEXT(data!A10)</f>
        <v>=CONCAT("a","b")</v>
      </c>
    </row>
    <row r="31" spans="1:1" x14ac:dyDescent="0.35">
      <c r="A31" t="str">
        <f ca="1">_xlfn.FORMULATEXT(data!A11)</f>
        <v>=@C1:C3</v>
      </c>
    </row>
    <row r="32" spans="1:1" x14ac:dyDescent="0.35">
      <c r="A32" t="str">
        <f ca="1">_xlfn.FORMULATEXT(data!A12)</f>
        <v>=@C1:C3*2</v>
      </c>
    </row>
    <row r="33" spans="1:1" x14ac:dyDescent="0.35">
      <c r="A33" t="str">
        <f ca="1">_xlfn.FORMULATEXT(data!A13)</f>
        <v>=INDEX(C1:C3,2)</v>
      </c>
    </row>
    <row r="34" spans="1:1" x14ac:dyDescent="0.35">
      <c r="A34" t="str">
        <f ca="1">_xlfn.FORMULATEXT(data!A14)</f>
        <v>=@ROW(C1:C3)</v>
      </c>
    </row>
    <row r="35" spans="1:1" x14ac:dyDescent="0.35">
      <c r="A35" t="str">
        <f ca="1">_xlfn.FORMULATEXT(data!A15)</f>
        <v>=IF(A1&gt;5,C1,C2)</v>
      </c>
    </row>
    <row r="36" spans="1:1" x14ac:dyDescent="0.35">
      <c r="A36" t="str">
        <f ca="1">_xlfn.FORMULATEXT(data!A16)</f>
        <v>=@C1:C3</v>
      </c>
    </row>
    <row r="37" spans="1:1" x14ac:dyDescent="0.35">
      <c r="A37" t="str">
        <f ca="1">_xlfn.FORMULATEXT(data!A17)</f>
        <v>=VLOOKUP(1,C1:C3,1,FALSE)</v>
      </c>
    </row>
    <row r="38" spans="1:1" x14ac:dyDescent="0.35">
      <c r="A38" t="str">
        <f ca="1">_xlfn.FORMULATEXT(data!A18)</f>
        <v>=COUNTIF(C1:C3,"&gt;1")</v>
      </c>
    </row>
    <row r="39" spans="1:1" x14ac:dyDescent="0.35">
      <c r="A39" t="str">
        <f ca="1">_xlfn.FORMULATEXT(data!A19)</f>
        <v>=SUM(FACT(3))</v>
      </c>
    </row>
    <row r="40" spans="1:1" x14ac:dyDescent="0.35">
      <c r="A40" t="str">
        <f ca="1">_xlfn.FORMULATEXT(data!A20)</f>
        <v>=LEN(@C1:C3)</v>
      </c>
    </row>
    <row r="41" spans="1:1" x14ac:dyDescent="0.35">
      <c r="A41" t="str">
        <f ca="1">_xlfn.FORMULATEXT(data!A21)</f>
        <v>=SUM(@C1:C3*2)</v>
      </c>
    </row>
    <row r="42" spans="1:1" x14ac:dyDescent="0.35">
      <c r="A42" t="str">
        <f ca="1">_xlfn.FORMULATEXT(data!A22)</f>
        <v>=SUMPRODUCT(C1:C3*2)</v>
      </c>
    </row>
    <row r="43" spans="1:1" x14ac:dyDescent="0.35">
      <c r="A43" t="str">
        <f ca="1">_xlfn.FORMULATEXT(data!A23)</f>
        <v>=SUM(IF(A1&gt;5,C1:C3,0))</v>
      </c>
    </row>
    <row r="44" spans="1:1" x14ac:dyDescent="0.35">
      <c r="A44" t="str">
        <f ca="1">_xlfn.FORMULATEXT(data!A24)</f>
        <v>=-C1</v>
      </c>
    </row>
    <row r="45" spans="1:1" x14ac:dyDescent="0.35">
      <c r="A45" t="str">
        <f ca="1">_xlfn.FORMULATEXT(data!A25)</f>
        <v>=IFERROR(@C1:C3,0)</v>
      </c>
    </row>
    <row r="46" spans="1:1" x14ac:dyDescent="0.35">
      <c r="A46" t="str">
        <f ca="1">_xlfn.FORMULATEXT(data!B1)</f>
        <v>=A1+100</v>
      </c>
    </row>
    <row r="47" spans="1:1" x14ac:dyDescent="0.35">
      <c r="A47" t="str">
        <f ca="1">_xlfn.FORMULATEXT(data!B3)</f>
        <v>=A3+100</v>
      </c>
    </row>
    <row r="48" spans="1:1" x14ac:dyDescent="0.35">
      <c r="A48" t="str">
        <f ca="1">_xlfn.FORMULATEXT(data!D1)</f>
        <v>{=SUM(C1:C3)}</v>
      </c>
    </row>
    <row r="49" spans="1:1" x14ac:dyDescent="0.35">
      <c r="A49" t="str">
        <f ca="1">_xlfn.FORMULATEXT(other!A1)</f>
        <v>=data!A1*3</v>
      </c>
    </row>
    <row r="50" spans="1:1" x14ac:dyDescent="0.35">
      <c r="A50" t="e">
        <f ca="1">_xlfn.FORMULATEXT(data:other!A1)</f>
        <v>#VALUE!</v>
      </c>
    </row>
    <row r="51" spans="1:1" x14ac:dyDescent="0.35">
      <c r="A51" t="e">
        <f ca="1">_xlfn.FORMULATEXT(#REF!)</f>
        <v>#REF!</v>
      </c>
    </row>
    <row r="52" spans="1:1" x14ac:dyDescent="0.35">
      <c r="A52" t="str">
        <f ca="1">_xlfn.FORMULATEXT(A52)</f>
        <v>=FORMULATEXT(A52)</v>
      </c>
    </row>
    <row r="53" spans="1:1" x14ac:dyDescent="0.35">
      <c r="A53" t="str" cm="1">
        <f t="array" aca="1" ref="A53" ca="1">_xlfn.FORMULATEXT(INDEX(data!A1:A8,3))</f>
        <v>=A1*2</v>
      </c>
    </row>
    <row r="54" spans="1:1" x14ac:dyDescent="0.35">
      <c r="A54" t="str" cm="1">
        <f t="array" aca="1" ref="A54" ca="1">INDEX(_xlfn.FORMULATEXT(data!A3:B4),2,2)</f>
        <v>=A4+100</v>
      </c>
    </row>
    <row r="55" spans="1:1" x14ac:dyDescent="0.35">
      <c r="A55" t="e" cm="1">
        <f t="array" aca="1" ref="A55" ca="1">INDEX(_xlfn.FORMULATEXT(data!A3:A5),2)</f>
        <v>#N/A</v>
      </c>
    </row>
    <row r="56" spans="1:1" x14ac:dyDescent="0.35">
      <c r="A56">
        <f ca="1">LEN(_xlfn.FORMULATEXT(data!A3))</f>
        <v>5</v>
      </c>
    </row>
    <row r="57" spans="1:1" x14ac:dyDescent="0.35">
      <c r="A57" t="b">
        <f ca="1">ISNUMBER(SEARCH("A1",_xlfn.FORMULATEXT(data!A3)))</f>
        <v>1</v>
      </c>
    </row>
    <row r="58" spans="1:1" x14ac:dyDescent="0.35">
      <c r="A58">
        <f ca="1">ROWS(_xlfn.FORMULATEXT(data!A1:A8))</f>
        <v>8</v>
      </c>
    </row>
    <row r="59" spans="1:1" x14ac:dyDescent="0.35">
      <c r="A59" t="e">
        <f ca="1">_xlfn.FORMULATEXT(data!A2)</f>
        <v>#N/A</v>
      </c>
    </row>
    <row r="60" spans="1:1" x14ac:dyDescent="0.35">
      <c r="A60">
        <f>SUM(--_xlfn.ISFORMULA(data!A1:A8))</f>
        <v>0</v>
      </c>
    </row>
    <row r="61" spans="1:1" x14ac:dyDescent="0.35">
      <c r="A61">
        <f ca="1">COUNTA(_xlfn.FORMULATEXT(data!A1:A8))</f>
        <v>1</v>
      </c>
    </row>
    <row r="62" spans="1:1" x14ac:dyDescent="0.35">
      <c r="A62" t="str">
        <f ca="1">_xlfn.FORMULATEXT(data!A26)</f>
        <v>=SUM(@ROW(C1:C3))</v>
      </c>
    </row>
    <row r="63" spans="1:1" x14ac:dyDescent="0.35">
      <c r="A63" t="str">
        <f ca="1">_xlfn.FORMULATEXT(data!A27)</f>
        <v>=SUMPRODUCT(ROW(C1:C3))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Frazaro</vt:lpstr>
      <vt:lpstr>data</vt:lpstr>
      <vt:lpstr>other</vt:lpstr>
      <vt:lpstr>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Preston Johnson</dc:creator>
  <cp:lastModifiedBy>Preston Johnson</cp:lastModifiedBy>
  <dcterms:created xsi:type="dcterms:W3CDTF">2026-10-22T17:49:40Z</dcterms:created>
  <dcterms:modified xsi:type="dcterms:W3CDTF">2026-10-22T17:49:40Z</dcterms:modified>
</cp:coreProperties>
</file>