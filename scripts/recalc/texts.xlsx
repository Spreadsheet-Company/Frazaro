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frazaro_1.xml" ContentType="application/vnd.openxmlformats-officedocument.spreadsheetml.worksheet+xml"/>
  <Override PartName="/xl/worksheets/frazaro_2.xml" ContentType="application/vnd.openxmlformats-officedocument.spreadsheetml.worksheet+xml"/>
  <Override PartName="/xl/worksheets/frazaro_3.xml" ContentType="application/vnd.openxmlformats-officedocument.spreadsheetml.worksheet+xml"/>
  <Override PartName="/xl/worksheets/frazaro_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razaro" sheetId="1" r:id="rIdFrazaro1"/>
    <sheet name="data" sheetId="2" r:id="rIdFrazaro2"/>
    <sheet name="functions" sheetId="3" r:id="rIdFrazaro3"/>
    <sheet name="order" sheetId="4" r:id="rIdFrazaro4"/>
  </sheets>
  <definedNames>
    <definedName name="Frazaro.Build">"Frazaro 0.10.1; sentences sha256:9522ECF86E483070E7DC00425378BAEB21F453678E319D6B24DC2E84BC13C3D6 over 21984 non-whitespace bytes; prelude sha256:887F55C46AA71563EE5DE0F74E3D4DB1C0022986248AD1FBF8A7A63711AC508C over 27033 non-whitespace bytes; phrasebook 1 sha256:5E5FF4121AA83D783E926C1A78B8E8C7C45BFE1E1184340F8D93A0285DDCB949 over 167902 non-whitespace bytes"</definedName>
  </definedNames>
  <calcPr fullCalcOnLoad="1"/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4F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Frazaro1" Type="http://schemas.openxmlformats.org/officeDocument/2006/relationships/worksheet" Target="worksheets/frazaro_1.xml"/>
<Relationship Id="rIdFrazaro2" Type="http://schemas.openxmlformats.org/officeDocument/2006/relationships/worksheet" Target="worksheets/frazaro_2.xml"/>
<Relationship Id="rIdFrazaro3" Type="http://schemas.openxmlformats.org/officeDocument/2006/relationships/worksheet" Target="worksheets/frazaro_3.xml"/>
<Relationship Id="rIdFrazaro4" Type="http://schemas.openxmlformats.org/officeDocument/2006/relationships/worksheet" Target="worksheets/frazaro_4.xml"/>
<Relationship Id="rIdFrazaroStyles" Type="http://schemas.openxmlformats.org/officeDocument/2006/relationships/styles" Target="styles.xml"/>
</Relationships>

</file>

<file path=xl/worksheets/frazaro_1.xml><?xml version="1.0" encoding="utf-8"?>
<worksheet xmlns="http://schemas.openxmlformats.org/spreadsheetml/2006/main" xmlns:r="http://schemas.openxmlformats.org/officeDocument/2006/relationships">
  <dimension ref="B1:C550"/>
  <sheetViews>
    <sheetView showGridLines="0" tabSelected="1" workbookViewId="0">
      <selection activeCell="B1" sqref="B1"/>
    </sheetView>
  </sheetViews>
  <sheetFormatPr defaultRowHeight="15"/>
  <cols>
    <col min="1" max="1" width="0" hidden="1" customWidth="1"/>
    <col min="2" max="2" width="72.7109375" customWidth="1" style="1"/>
    <col min="3" max="3" width="60.7109375" customWidth="1" style="2"/>
  </cols>
  <sheetData>
    <row r="1">
      <c r="B1" s="1" t="inlineStr">
        <is>
          <t xml:space="preserve"># The text functions' fixture (KERNEL.8, slice c): a Data sheet of the texts the functions read, words and spaces, an</t>
        </is>
      </c>
      <c r="C1" s="3" t="inlineStr">
        <is>
          <t xml:space="preserve">OK</t>
        </is>
      </c>
    </row>
    <row r="2">
      <c r="B2" s="1" t="inlineStr">
        <is>
          <t xml:space="preserve"># apostrophe and digits among letters, letters beyond ASCII, an emoji (a surrogate pair, two UTF-16 units) first and</t>
        </is>
      </c>
      <c r="C2" s="3" t="inlineStr">
        <is>
          <t xml:space="preserve">OK</t>
        </is>
      </c>
    </row>
    <row r="3">
      <c r="B3" s="1" t="inlineStr">
        <is>
          <t xml:space="preserve"># between letters, a number, a truth value and an error, a row of texts with an empty cell among them, delimiters, and</t>
        </is>
      </c>
      <c r="C3" s="3" t="inlineStr">
        <is>
          <t xml:space="preserve">OK</t>
        </is>
      </c>
    </row>
    <row r="4">
      <c r="B4" s="1" t="inlineStr">
        <is>
          <t xml:space="preserve"># texts a locale might read; a Functions sheet of one formula a function and a rule, each a legacy formula, TEXT's</t>
        </is>
      </c>
      <c r="C4" s="3" t="inlineStr">
        <is>
          <t xml:space="preserve">OK</t>
        </is>
      </c>
    </row>
    <row r="5">
      <c r="B5" s="1" t="inlineStr">
        <is>
          <t xml:space="preserve"># dates and times among them, and the comparisons the order of texts answers; and an Order sheet of characters and</t>
        </is>
      </c>
      <c r="C5" s="3" t="inlineStr">
        <is>
          <t xml:space="preserve">OK</t>
        </is>
      </c>
    </row>
    <row r="6">
      <c r="B6" s="1" t="inlineStr">
        <is>
          <t xml:space="preserve"># texts, each beside its rank among them, SUMPRODUCT(--(range&lt;text)), which this version does not compute: the</t>
        </is>
      </c>
      <c r="C6" s="3" t="inlineStr">
        <is>
          <t xml:space="preserve">OK</t>
        </is>
      </c>
    </row>
    <row r="7">
      <c r="B7" s="1" t="inlineStr">
        <is>
          <t xml:space="preserve"># order's golden, Excel's own ranks, read off its save. Built by frazaro into texts.xlsx (each value it computes</t>
        </is>
      </c>
      <c r="C7" s="3" t="inlineStr">
        <is>
          <t xml:space="preserve">OK</t>
        </is>
      </c>
    </row>
    <row r="8">
      <c r="B8" s="1" t="inlineStr">
        <is>
          <t xml:space="preserve"># held); the owner's save of it is texts_saved.xlsx.</t>
        </is>
      </c>
      <c r="C8" s="3" t="inlineStr">
        <is>
          <t xml:space="preserve">OK</t>
        </is>
      </c>
    </row>
    <row r="10">
      <c r="B10" s="1" t="inlineStr">
        <is>
          <t xml:space="preserve">Work on sheet Data.</t>
        </is>
      </c>
      <c r="C10" s="3" t="inlineStr">
        <is>
          <t xml:space="preserve">OK</t>
        </is>
      </c>
    </row>
    <row r="11">
      <c r="B11" s="1" t="inlineStr">
        <is>
          <t xml:space="preserve">Put "Hello World" into cell A1.</t>
        </is>
      </c>
      <c r="C11" s="3" t="inlineStr">
        <is>
          <t xml:space="preserve">OK</t>
        </is>
      </c>
    </row>
    <row r="12">
      <c r="B12" s="1" t="inlineStr">
        <is>
          <t xml:space="preserve">Put "  lots   of   space  " into cell A2.</t>
        </is>
      </c>
      <c r="C12" s="3" t="inlineStr">
        <is>
          <t xml:space="preserve">OK</t>
        </is>
      </c>
    </row>
    <row r="13">
      <c r="B13" s="1" t="inlineStr">
        <is>
          <t xml:space="preserve">Put "o'neil 2nd-place" into cell A3.</t>
        </is>
      </c>
      <c r="C13" s="3" t="inlineStr">
        <is>
          <t xml:space="preserve">OK</t>
        </is>
      </c>
    </row>
    <row r="14">
      <c r="B14" s="1" t="inlineStr">
        <is>
          <t xml:space="preserve">Put "Éclair ß" into cell A4.</t>
        </is>
      </c>
      <c r="C14" s="3" t="inlineStr">
        <is>
          <t xml:space="preserve">OK</t>
        </is>
      </c>
    </row>
    <row r="15">
      <c r="B15" s="1" t="inlineStr">
        <is>
          <t xml:space="preserve">Put "😀ab" into cell A5.</t>
        </is>
      </c>
      <c r="C15" s="3" t="inlineStr">
        <is>
          <t xml:space="preserve">OK</t>
        </is>
      </c>
    </row>
    <row r="16">
      <c r="B16" s="1" t="inlineStr">
        <is>
          <t xml:space="preserve">Put "a😀b" into cell A6.</t>
        </is>
      </c>
      <c r="C16" s="3" t="inlineStr">
        <is>
          <t xml:space="preserve">OK</t>
        </is>
      </c>
    </row>
    <row r="17">
      <c r="B17" s="1" t="inlineStr">
        <is>
          <t xml:space="preserve">Put "x" into cell B1.</t>
        </is>
      </c>
      <c r="C17" s="3" t="inlineStr">
        <is>
          <t xml:space="preserve">OK</t>
        </is>
      </c>
    </row>
    <row r="18">
      <c r="B18" s="1" t="inlineStr">
        <is>
          <t xml:space="preserve">Put "z" into cell B3.</t>
        </is>
      </c>
      <c r="C18" s="3" t="inlineStr">
        <is>
          <t xml:space="preserve">OK</t>
        </is>
      </c>
    </row>
    <row r="19">
      <c r="B19" s="1" t="inlineStr">
        <is>
          <t xml:space="preserve">Put "1,000" into cell C1.</t>
        </is>
      </c>
      <c r="C19" s="3" t="inlineStr">
        <is>
          <t xml:space="preserve">OK</t>
        </is>
      </c>
    </row>
    <row r="20">
      <c r="B20" s="1" t="inlineStr">
        <is>
          <t xml:space="preserve">Put "12abc" into cell C2.</t>
        </is>
      </c>
      <c r="C20" s="3" t="inlineStr">
        <is>
          <t xml:space="preserve">OK</t>
        </is>
      </c>
    </row>
    <row r="21">
      <c r="B21" s="1" t="inlineStr">
        <is>
          <t xml:space="preserve">Put "50%" into cell C3.</t>
        </is>
      </c>
      <c r="C21" s="3" t="inlineStr">
        <is>
          <t xml:space="preserve">OK</t>
        </is>
      </c>
    </row>
    <row r="22">
      <c r="B22" s="1" t="inlineStr">
        <is>
          <t xml:space="preserve">Put " 7 " into cell C4.</t>
        </is>
      </c>
      <c r="C22" s="3" t="inlineStr">
        <is>
          <t xml:space="preserve">OK</t>
        </is>
      </c>
    </row>
    <row r="23">
      <c r="B23" s="1" t="inlineStr">
        <is>
          <t xml:space="preserve">Put "abc" into cell C5.</t>
        </is>
      </c>
      <c r="C23" s="3" t="inlineStr">
        <is>
          <t xml:space="preserve">OK</t>
        </is>
      </c>
    </row>
    <row r="24">
      <c r="B24" s="1" t="inlineStr">
        <is>
          <t xml:space="preserve">Put "-" into cell D1.</t>
        </is>
      </c>
      <c r="C24" s="3" t="inlineStr">
        <is>
          <t xml:space="preserve">OK</t>
        </is>
      </c>
    </row>
    <row r="25">
      <c r="B25" s="1" t="inlineStr">
        <is>
          <t xml:space="preserve">Put "+" into cell D2.</t>
        </is>
      </c>
      <c r="C25" s="3" t="inlineStr">
        <is>
          <t xml:space="preserve">OK</t>
        </is>
      </c>
    </row>
    <row r="26">
      <c r="B26" s="1" t="inlineStr">
        <is>
          <t xml:space="preserve">Put 123.5 into cell A7.</t>
        </is>
      </c>
      <c r="C26" s="3" t="inlineStr">
        <is>
          <t xml:space="preserve">OK</t>
        </is>
      </c>
    </row>
    <row r="27">
      <c r="B27" s="1" t="inlineStr">
        <is>
          <t xml:space="preserve">Put formula "=TRUE" into cell A8.</t>
        </is>
      </c>
      <c r="C27" s="3" t="inlineStr">
        <is>
          <t xml:space="preserve">OK</t>
        </is>
      </c>
    </row>
    <row r="28">
      <c r="B28" s="1" t="inlineStr">
        <is>
          <t xml:space="preserve">Put formula "=1/0" into cell A9.</t>
        </is>
      </c>
      <c r="C28" s="3" t="inlineStr">
        <is>
          <t xml:space="preserve">OK</t>
        </is>
      </c>
    </row>
    <row r="30">
      <c r="B30" s="1" t="inlineStr">
        <is>
          <t xml:space="preserve">Work on sheet Functions.</t>
        </is>
      </c>
      <c r="C30" s="3" t="inlineStr">
        <is>
          <t xml:space="preserve">OK</t>
        </is>
      </c>
    </row>
    <row r="31">
      <c r="B31" s="1" t="inlineStr">
        <is>
          <t xml:space="preserve">Put formula "=LEN(Data!A1)" into cell A1.</t>
        </is>
      </c>
      <c r="C31" s="3" t="inlineStr">
        <is>
          <t xml:space="preserve">OK</t>
        </is>
      </c>
    </row>
    <row r="32">
      <c r="B32" s="1" t="inlineStr">
        <is>
          <t xml:space="preserve">Put formula "=LEN(Data!A5)" into cell A2.</t>
        </is>
      </c>
      <c r="C32" s="3" t="inlineStr">
        <is>
          <t xml:space="preserve">OK</t>
        </is>
      </c>
    </row>
    <row r="33">
      <c r="B33" s="1" t="inlineStr">
        <is>
          <t xml:space="preserve">Put formula "=LEN(Data!A7)" into cell A3.</t>
        </is>
      </c>
      <c r="C33" s="3" t="inlineStr">
        <is>
          <t xml:space="preserve">OK</t>
        </is>
      </c>
    </row>
    <row r="34">
      <c r="B34" s="1" t="inlineStr">
        <is>
          <t xml:space="preserve">Put formula "=LEN(Data!A8)" into cell A4.</t>
        </is>
      </c>
      <c r="C34" s="3" t="inlineStr">
        <is>
          <t xml:space="preserve">OK</t>
        </is>
      </c>
    </row>
    <row r="35">
      <c r="B35" s="1" t="inlineStr">
        <is>
          <t xml:space="preserve">Put formula "=LEN("""")" into cell A5.</t>
        </is>
      </c>
      <c r="C35" s="3" t="inlineStr">
        <is>
          <t xml:space="preserve">OK</t>
        </is>
      </c>
    </row>
    <row r="36">
      <c r="B36" s="1" t="inlineStr">
        <is>
          <t xml:space="preserve">Put formula "=LEN(Data!A9)" into cell A6.</t>
        </is>
      </c>
      <c r="C36" s="3" t="inlineStr">
        <is>
          <t xml:space="preserve">OK</t>
        </is>
      </c>
    </row>
    <row r="37">
      <c r="B37" s="1" t="inlineStr">
        <is>
          <t xml:space="preserve">Put formula "=LEFT(Data!A1)" into cell A7.</t>
        </is>
      </c>
      <c r="C37" s="3" t="inlineStr">
        <is>
          <t xml:space="preserve">OK</t>
        </is>
      </c>
    </row>
    <row r="38">
      <c r="B38" s="1" t="inlineStr">
        <is>
          <t xml:space="preserve">Put formula "=LEFT(Data!A1,5)" into cell A8.</t>
        </is>
      </c>
      <c r="C38" s="3" t="inlineStr">
        <is>
          <t xml:space="preserve">OK</t>
        </is>
      </c>
    </row>
    <row r="39">
      <c r="B39" s="1" t="inlineStr">
        <is>
          <t xml:space="preserve">Put formula "=LEFT(Data!A1,99)" into cell A9.</t>
        </is>
      </c>
      <c r="C39" s="3" t="inlineStr">
        <is>
          <t xml:space="preserve">OK</t>
        </is>
      </c>
    </row>
    <row r="40">
      <c r="B40" s="1" t="inlineStr">
        <is>
          <t xml:space="preserve">Put formula "=LEFT(Data!A1,0)" into cell A10.</t>
        </is>
      </c>
      <c r="C40" s="3" t="inlineStr">
        <is>
          <t xml:space="preserve">OK</t>
        </is>
      </c>
    </row>
    <row r="41">
      <c r="B41" s="1" t="inlineStr">
        <is>
          <t xml:space="preserve">Put formula "=LEFT(Data!A1,2.9)" into cell A11.</t>
        </is>
      </c>
      <c r="C41" s="3" t="inlineStr">
        <is>
          <t xml:space="preserve">OK</t>
        </is>
      </c>
    </row>
    <row r="42">
      <c r="B42" s="1" t="inlineStr">
        <is>
          <t xml:space="preserve">Put formula "=LEFT(Data!A1,-1)" into cell A12.</t>
        </is>
      </c>
      <c r="C42" s="3" t="inlineStr">
        <is>
          <t xml:space="preserve">OK</t>
        </is>
      </c>
    </row>
    <row r="43">
      <c r="B43" s="1" t="inlineStr">
        <is>
          <t xml:space="preserve">Put formula "=LEFT(Data!A1,-0.5)" into cell A13.</t>
        </is>
      </c>
      <c r="C43" s="3" t="inlineStr">
        <is>
          <t xml:space="preserve">OK</t>
        </is>
      </c>
    </row>
    <row r="44">
      <c r="B44" s="1" t="inlineStr">
        <is>
          <t xml:space="preserve">Put formula "=LEFT(1234,2)" into cell A14.</t>
        </is>
      </c>
      <c r="C44" s="3" t="inlineStr">
        <is>
          <t xml:space="preserve">OK</t>
        </is>
      </c>
    </row>
    <row r="45">
      <c r="B45" s="1" t="inlineStr">
        <is>
          <t xml:space="preserve">Put formula "=LEFT(Data!A5,2)" into cell A15.</t>
        </is>
      </c>
      <c r="C45" s="3" t="inlineStr">
        <is>
          <t xml:space="preserve">OK</t>
        </is>
      </c>
    </row>
    <row r="46">
      <c r="B46" s="1" t="inlineStr">
        <is>
          <t xml:space="preserve">Put formula "=LEFT(Data!A5,1)" into cell A16.</t>
        </is>
      </c>
      <c r="C46" s="3" t="inlineStr">
        <is>
          <t xml:space="preserve">OK</t>
        </is>
      </c>
    </row>
    <row r="47">
      <c r="B47" s="1" t="inlineStr">
        <is>
          <t xml:space="preserve">Put formula "=RIGHT(Data!A1,5)" into cell A17.</t>
        </is>
      </c>
      <c r="C47" s="3" t="inlineStr">
        <is>
          <t xml:space="preserve">OK</t>
        </is>
      </c>
    </row>
    <row r="48">
      <c r="B48" s="1" t="inlineStr">
        <is>
          <t xml:space="preserve">Put formula "=RIGHT(Data!A6,3)" into cell A18.</t>
        </is>
      </c>
      <c r="C48" s="3" t="inlineStr">
        <is>
          <t xml:space="preserve">OK</t>
        </is>
      </c>
    </row>
    <row r="49">
      <c r="B49" s="1" t="inlineStr">
        <is>
          <t xml:space="preserve">Put formula "=RIGHT(Data!A6,2)" into cell A19.</t>
        </is>
      </c>
      <c r="C49" s="3" t="inlineStr">
        <is>
          <t xml:space="preserve">OK</t>
        </is>
      </c>
    </row>
    <row r="50">
      <c r="B50" s="1" t="inlineStr">
        <is>
          <t xml:space="preserve">Put formula "=MID(Data!A1,7,5)" into cell A20.</t>
        </is>
      </c>
      <c r="C50" s="3" t="inlineStr">
        <is>
          <t xml:space="preserve">OK</t>
        </is>
      </c>
    </row>
    <row r="51">
      <c r="B51" s="1" t="inlineStr">
        <is>
          <t xml:space="preserve">Put formula "=MID(Data!A1,7,99)" into cell A21.</t>
        </is>
      </c>
      <c r="C51" s="3" t="inlineStr">
        <is>
          <t xml:space="preserve">OK</t>
        </is>
      </c>
    </row>
    <row r="52">
      <c r="B52" s="1" t="inlineStr">
        <is>
          <t xml:space="preserve">Put formula "=MID(Data!A1,20,5)" into cell A22.</t>
        </is>
      </c>
      <c r="C52" s="3" t="inlineStr">
        <is>
          <t xml:space="preserve">OK</t>
        </is>
      </c>
    </row>
    <row r="53">
      <c r="B53" s="1" t="inlineStr">
        <is>
          <t xml:space="preserve">Put formula "=MID(Data!A1,0,5)" into cell A23.</t>
        </is>
      </c>
      <c r="C53" s="3" t="inlineStr">
        <is>
          <t xml:space="preserve">OK</t>
        </is>
      </c>
    </row>
    <row r="54">
      <c r="B54" s="1" t="inlineStr">
        <is>
          <t xml:space="preserve">Put formula "=MID(Data!A1,1,-1)" into cell A24.</t>
        </is>
      </c>
      <c r="C54" s="3" t="inlineStr">
        <is>
          <t xml:space="preserve">OK</t>
        </is>
      </c>
    </row>
    <row r="55">
      <c r="B55" s="1" t="inlineStr">
        <is>
          <t xml:space="preserve">Put formula "=MID(Data!A6,2,2)" into cell A25.</t>
        </is>
      </c>
      <c r="C55" s="3" t="inlineStr">
        <is>
          <t xml:space="preserve">OK</t>
        </is>
      </c>
    </row>
    <row r="56">
      <c r="B56" s="1" t="inlineStr">
        <is>
          <t xml:space="preserve">Put formula "=MID(Data!A6,3,1)" into cell A26.</t>
        </is>
      </c>
      <c r="C56" s="3" t="inlineStr">
        <is>
          <t xml:space="preserve">OK</t>
        </is>
      </c>
    </row>
    <row r="57">
      <c r="B57" s="1" t="inlineStr">
        <is>
          <t xml:space="preserve">Put formula "=MID(Data!A1,1.9,2)" into cell A27.</t>
        </is>
      </c>
      <c r="C57" s="3" t="inlineStr">
        <is>
          <t xml:space="preserve">OK</t>
        </is>
      </c>
    </row>
    <row r="58">
      <c r="B58" s="1" t="inlineStr">
        <is>
          <t xml:space="preserve">Put formula "=FIND(""o"",Data!A1)" into cell A28.</t>
        </is>
      </c>
      <c r="C58" s="3" t="inlineStr">
        <is>
          <t xml:space="preserve">OK</t>
        </is>
      </c>
    </row>
    <row r="59">
      <c r="B59" s="1" t="inlineStr">
        <is>
          <t xml:space="preserve">Put formula "=FIND(""o"",Data!A1,6)" into cell A29.</t>
        </is>
      </c>
      <c r="C59" s="3" t="inlineStr">
        <is>
          <t xml:space="preserve">OK</t>
        </is>
      </c>
    </row>
    <row r="60">
      <c r="B60" s="1" t="inlineStr">
        <is>
          <t xml:space="preserve">Put formula "=FIND(""O"",Data!A1)" into cell A30.</t>
        </is>
      </c>
      <c r="C60" s="3" t="inlineStr">
        <is>
          <t xml:space="preserve">OK</t>
        </is>
      </c>
    </row>
    <row r="61">
      <c r="B61" s="1" t="inlineStr">
        <is>
          <t xml:space="preserve">Put formula "=FIND(""x"",Data!A1)" into cell A31.</t>
        </is>
      </c>
      <c r="C61" s="3" t="inlineStr">
        <is>
          <t xml:space="preserve">OK</t>
        </is>
      </c>
    </row>
    <row r="62">
      <c r="B62" s="1" t="inlineStr">
        <is>
          <t xml:space="preserve">Put formula "=FIND(""o"",Data!A1,0)" into cell A32.</t>
        </is>
      </c>
      <c r="C62" s="3" t="inlineStr">
        <is>
          <t xml:space="preserve">OK</t>
        </is>
      </c>
    </row>
    <row r="63">
      <c r="B63" s="1" t="inlineStr">
        <is>
          <t xml:space="preserve">Put formula "=FIND(""o"",Data!A1,12)" into cell A33.</t>
        </is>
      </c>
      <c r="C63" s="3" t="inlineStr">
        <is>
          <t xml:space="preserve">OK</t>
        </is>
      </c>
    </row>
    <row r="64">
      <c r="B64" s="1" t="inlineStr">
        <is>
          <t xml:space="preserve">Put formula "=FIND("""",Data!A1)" into cell A34.</t>
        </is>
      </c>
      <c r="C64" s="3" t="inlineStr">
        <is>
          <t xml:space="preserve">OK</t>
        </is>
      </c>
    </row>
    <row r="65">
      <c r="B65" s="1" t="inlineStr">
        <is>
          <t xml:space="preserve">Put formula "=FIND("""",Data!A1,3)" into cell A35.</t>
        </is>
      </c>
      <c r="C65" s="3" t="inlineStr">
        <is>
          <t xml:space="preserve">OK</t>
        </is>
      </c>
    </row>
    <row r="66">
      <c r="B66" s="1" t="inlineStr">
        <is>
          <t xml:space="preserve">Put formula "=FIND("""",Data!A1,12)" into cell A36.</t>
        </is>
      </c>
      <c r="C66" s="3" t="inlineStr">
        <is>
          <t xml:space="preserve">OK</t>
        </is>
      </c>
    </row>
    <row r="67">
      <c r="B67" s="1" t="inlineStr">
        <is>
          <t xml:space="preserve">Put formula "=FIND("""","""")" into cell A37.</t>
        </is>
      </c>
      <c r="C67" s="3" t="inlineStr">
        <is>
          <t xml:space="preserve">OK</t>
        </is>
      </c>
    </row>
    <row r="68">
      <c r="B68" s="1" t="inlineStr">
        <is>
          <t xml:space="preserve">Put formula "=FIND(""b"",Data!A6)" into cell A38.</t>
        </is>
      </c>
      <c r="C68" s="3" t="inlineStr">
        <is>
          <t xml:space="preserve">OK</t>
        </is>
      </c>
    </row>
    <row r="69">
      <c r="B69" s="1" t="inlineStr">
        <is>
          <t xml:space="preserve">Put formula "=SEARCH(""O"",Data!A1)" into cell A39.</t>
        </is>
      </c>
      <c r="C69" s="3" t="inlineStr">
        <is>
          <t xml:space="preserve">OK</t>
        </is>
      </c>
    </row>
    <row r="70">
      <c r="B70" s="1" t="inlineStr">
        <is>
          <t xml:space="preserve">Put formula "=SEARCH(""w?r"",Data!A1)" into cell A40.</t>
        </is>
      </c>
      <c r="C70" s="3" t="inlineStr">
        <is>
          <t xml:space="preserve">OK</t>
        </is>
      </c>
    </row>
    <row r="71">
      <c r="B71" s="1" t="inlineStr">
        <is>
          <t xml:space="preserve">Put formula "=SEARCH(""l*d"",Data!A1)" into cell A41.</t>
        </is>
      </c>
      <c r="C71" s="3" t="inlineStr">
        <is>
          <t xml:space="preserve">OK</t>
        </is>
      </c>
    </row>
    <row r="72">
      <c r="B72" s="1" t="inlineStr">
        <is>
          <t xml:space="preserve">Put formula "=SEARCH(""~*"",""a*b"")" into cell A42.</t>
        </is>
      </c>
      <c r="C72" s="3" t="inlineStr">
        <is>
          <t xml:space="preserve">OK</t>
        </is>
      </c>
    </row>
    <row r="73">
      <c r="B73" s="1" t="inlineStr">
        <is>
          <t xml:space="preserve">Put formula "=SEARCH(""é"",Data!A4)" into cell A43.</t>
        </is>
      </c>
      <c r="C73" s="3" t="inlineStr">
        <is>
          <t xml:space="preserve">OK</t>
        </is>
      </c>
    </row>
    <row r="74">
      <c r="B74" s="1" t="inlineStr">
        <is>
          <t xml:space="preserve">Put formula "=SEARCH(""É"",Data!A4)" into cell A44.</t>
        </is>
      </c>
      <c r="C74" s="3" t="inlineStr">
        <is>
          <t xml:space="preserve">OK</t>
        </is>
      </c>
    </row>
    <row r="75">
      <c r="B75" s="1" t="inlineStr">
        <is>
          <t xml:space="preserve">Put formula "=SEARCH(""?"",Data!A6)" into cell A45.</t>
        </is>
      </c>
      <c r="C75" s="3" t="inlineStr">
        <is>
          <t xml:space="preserve">OK</t>
        </is>
      </c>
    </row>
    <row r="76">
      <c r="B76" s="1" t="inlineStr">
        <is>
          <t xml:space="preserve">Put formula "=SEARCH(""b"",Data!A6)" into cell A46.</t>
        </is>
      </c>
      <c r="C76" s="3" t="inlineStr">
        <is>
          <t xml:space="preserve">OK</t>
        </is>
      </c>
    </row>
    <row r="77">
      <c r="B77" s="1" t="inlineStr">
        <is>
          <t xml:space="preserve">Put formula "=SEARCH(""*"",Data!A1)" into cell A47.</t>
        </is>
      </c>
      <c r="C77" s="3" t="inlineStr">
        <is>
          <t xml:space="preserve">OK</t>
        </is>
      </c>
    </row>
    <row r="78">
      <c r="B78" s="1" t="inlineStr">
        <is>
          <t xml:space="preserve">Put formula "=SEARCH(""d*"",Data!A1)" into cell A48.</t>
        </is>
      </c>
      <c r="C78" s="3" t="inlineStr">
        <is>
          <t xml:space="preserve">OK</t>
        </is>
      </c>
    </row>
    <row r="79">
      <c r="B79" s="1" t="inlineStr">
        <is>
          <t xml:space="preserve">Put formula "=SUBSTITUTE(""aaa"",""aa"",""b"")" into cell A49.</t>
        </is>
      </c>
      <c r="C79" s="3" t="inlineStr">
        <is>
          <t xml:space="preserve">OK</t>
        </is>
      </c>
    </row>
    <row r="80">
      <c r="B80" s="1" t="inlineStr">
        <is>
          <t xml:space="preserve">Put formula "=SUBSTITUTE(""a-b-c"",""-"",""+"")" into cell A50.</t>
        </is>
      </c>
      <c r="C80" s="3" t="inlineStr">
        <is>
          <t xml:space="preserve">OK</t>
        </is>
      </c>
    </row>
    <row r="81">
      <c r="B81" s="1" t="inlineStr">
        <is>
          <t xml:space="preserve">Put formula "=SUBSTITUTE(""a-b-c"",""-"",""+"",2)" into cell A51.</t>
        </is>
      </c>
      <c r="C81" s="3" t="inlineStr">
        <is>
          <t xml:space="preserve">OK</t>
        </is>
      </c>
    </row>
    <row r="82">
      <c r="B82" s="1" t="inlineStr">
        <is>
          <t xml:space="preserve">Put formula "=SUBSTITUTE(""a-b-c"",""-"",""+"",3)" into cell A52.</t>
        </is>
      </c>
      <c r="C82" s="3" t="inlineStr">
        <is>
          <t xml:space="preserve">OK</t>
        </is>
      </c>
    </row>
    <row r="83">
      <c r="B83" s="1" t="inlineStr">
        <is>
          <t xml:space="preserve">Put formula "=SUBSTITUTE(""abc"","""",""x"")" into cell A53.</t>
        </is>
      </c>
      <c r="C83" s="3" t="inlineStr">
        <is>
          <t xml:space="preserve">OK</t>
        </is>
      </c>
    </row>
    <row r="84">
      <c r="B84" s="1" t="inlineStr">
        <is>
          <t xml:space="preserve">Put formula "=SUBSTITUTE(""abc"",""B"",""x"")" into cell A54.</t>
        </is>
      </c>
      <c r="C84" s="3" t="inlineStr">
        <is>
          <t xml:space="preserve">OK</t>
        </is>
      </c>
    </row>
    <row r="85">
      <c r="B85" s="1" t="inlineStr">
        <is>
          <t xml:space="preserve">Put formula "=SUBSTITUTE(""abc"",""b"",""x"",0)" into cell A55.</t>
        </is>
      </c>
      <c r="C85" s="3" t="inlineStr">
        <is>
          <t xml:space="preserve">OK</t>
        </is>
      </c>
    </row>
    <row r="86">
      <c r="B86" s="1" t="inlineStr">
        <is>
          <t xml:space="preserve">Put formula "=SUBSTITUTE(""abc"",""b"",""x"",1.9)" into cell A56.</t>
        </is>
      </c>
      <c r="C86" s="3" t="inlineStr">
        <is>
          <t xml:space="preserve">OK</t>
        </is>
      </c>
    </row>
    <row r="87">
      <c r="B87" s="1" t="inlineStr">
        <is>
          <t xml:space="preserve">Put formula "=REPLACE(""abcdef"",2,3,""X"")" into cell A57.</t>
        </is>
      </c>
      <c r="C87" s="3" t="inlineStr">
        <is>
          <t xml:space="preserve">OK</t>
        </is>
      </c>
    </row>
    <row r="88">
      <c r="B88" s="1" t="inlineStr">
        <is>
          <t xml:space="preserve">Put formula "=REPLACE(""abc"",10,1,""X"")" into cell A58.</t>
        </is>
      </c>
      <c r="C88" s="3" t="inlineStr">
        <is>
          <t xml:space="preserve">OK</t>
        </is>
      </c>
    </row>
    <row r="89">
      <c r="B89" s="1" t="inlineStr">
        <is>
          <t xml:space="preserve">Put formula "=REPLACE(""abc"",0,1,""X"")" into cell A59.</t>
        </is>
      </c>
      <c r="C89" s="3" t="inlineStr">
        <is>
          <t xml:space="preserve">OK</t>
        </is>
      </c>
    </row>
    <row r="90">
      <c r="B90" s="1" t="inlineStr">
        <is>
          <t xml:space="preserve">Put formula "=REPLACE(""abc"",1,-1,""X"")" into cell A60.</t>
        </is>
      </c>
      <c r="C90" s="3" t="inlineStr">
        <is>
          <t xml:space="preserve">OK</t>
        </is>
      </c>
    </row>
    <row r="91">
      <c r="B91" s="1" t="inlineStr">
        <is>
          <t xml:space="preserve">Put formula "=REPLACE(Data!A5,2,1,""X"")" into cell A61.</t>
        </is>
      </c>
      <c r="C91" s="3" t="inlineStr">
        <is>
          <t xml:space="preserve">OK</t>
        </is>
      </c>
    </row>
    <row r="92">
      <c r="B92" s="1" t="inlineStr">
        <is>
          <t xml:space="preserve">Put formula "=REPLACE(Data!A5,3,1,""X"")" into cell A62.</t>
        </is>
      </c>
      <c r="C92" s="3" t="inlineStr">
        <is>
          <t xml:space="preserve">OK</t>
        </is>
      </c>
    </row>
    <row r="93">
      <c r="B93" s="1" t="inlineStr">
        <is>
          <t xml:space="preserve">Put formula "=UPPER(Data!A4)" into cell A63.</t>
        </is>
      </c>
      <c r="C93" s="3" t="inlineStr">
        <is>
          <t xml:space="preserve">OK</t>
        </is>
      </c>
    </row>
    <row r="94">
      <c r="B94" s="1" t="inlineStr">
        <is>
          <t xml:space="preserve">Put formula "=LOWER(""ÉCLAIR"")" into cell A64.</t>
        </is>
      </c>
      <c r="C94" s="3" t="inlineStr">
        <is>
          <t xml:space="preserve">OK</t>
        </is>
      </c>
    </row>
    <row r="95">
      <c r="B95" s="1" t="inlineStr">
        <is>
          <t xml:space="preserve">Put formula "=PROPER(Data!A3)" into cell A65.</t>
        </is>
      </c>
      <c r="C95" s="3" t="inlineStr">
        <is>
          <t xml:space="preserve">OK</t>
        </is>
      </c>
    </row>
    <row r="96">
      <c r="B96" s="1" t="inlineStr">
        <is>
          <t xml:space="preserve">Put formula "=PROPER(""hELLO wORLD"")" into cell A66.</t>
        </is>
      </c>
      <c r="C96" s="3" t="inlineStr">
        <is>
          <t xml:space="preserve">OK</t>
        </is>
      </c>
    </row>
    <row r="97">
      <c r="B97" s="1" t="inlineStr">
        <is>
          <t xml:space="preserve">Put formula "=UPPER(""ﬁ"")" into cell A67.</t>
        </is>
      </c>
      <c r="C97" s="3" t="inlineStr">
        <is>
          <t xml:space="preserve">OK</t>
        </is>
      </c>
    </row>
    <row r="98">
      <c r="B98" s="1" t="inlineStr">
        <is>
          <t xml:space="preserve">Put formula "=LOWER(""İ"")" into cell A68.</t>
        </is>
      </c>
      <c r="C98" s="3" t="inlineStr">
        <is>
          <t xml:space="preserve">OK</t>
        </is>
      </c>
    </row>
    <row r="99">
      <c r="B99" s="1" t="inlineStr">
        <is>
          <t xml:space="preserve">Put formula "=PROPER(""élan vital"")" into cell A69.</t>
        </is>
      </c>
      <c r="C99" s="3" t="inlineStr">
        <is>
          <t xml:space="preserve">OK</t>
        </is>
      </c>
    </row>
    <row r="100">
      <c r="B100" s="1" t="inlineStr">
        <is>
          <t xml:space="preserve">Put formula "=TRIM(Data!A2)" into cell A70.</t>
        </is>
      </c>
      <c r="C100" s="3" t="inlineStr">
        <is>
          <t xml:space="preserve">OK</t>
        </is>
      </c>
    </row>
    <row r="101">
      <c r="B101" s="1" t="inlineStr">
        <is>
          <t xml:space="preserve">Put formula "=TRIM("" a"" &amp; CHAR(9) &amp; ""b "")" into cell A71.</t>
        </is>
      </c>
      <c r="C101" s="3" t="inlineStr">
        <is>
          <t xml:space="preserve">OK</t>
        </is>
      </c>
    </row>
    <row r="102">
      <c r="B102" s="1" t="inlineStr">
        <is>
          <t xml:space="preserve">Put formula "=EXACT(""a"",""A"")" into cell A72.</t>
        </is>
      </c>
      <c r="C102" s="3" t="inlineStr">
        <is>
          <t xml:space="preserve">OK</t>
        </is>
      </c>
    </row>
    <row r="103">
      <c r="B103" s="1" t="inlineStr">
        <is>
          <t xml:space="preserve">Put formula "=EXACT(""a"",""a"")" into cell A73.</t>
        </is>
      </c>
      <c r="C103" s="3" t="inlineStr">
        <is>
          <t xml:space="preserve">OK</t>
        </is>
      </c>
    </row>
    <row r="104">
      <c r="B104" s="1" t="inlineStr">
        <is>
          <t xml:space="preserve">Put formula "=EXACT(1,""1"")" into cell A74.</t>
        </is>
      </c>
      <c r="C104" s="3" t="inlineStr">
        <is>
          <t xml:space="preserve">OK</t>
        </is>
      </c>
    </row>
    <row r="105">
      <c r="B105" s="1" t="inlineStr">
        <is>
          <t xml:space="preserve">Put formula "=EXACT(TRUE,""TRUE"")" into cell A75.</t>
        </is>
      </c>
      <c r="C105" s="3" t="inlineStr">
        <is>
          <t xml:space="preserve">OK</t>
        </is>
      </c>
    </row>
    <row r="106">
      <c r="B106" s="1" t="inlineStr">
        <is>
          <t xml:space="preserve">Put formula "=REPT(""ab"",3)" into cell A76.</t>
        </is>
      </c>
      <c r="C106" s="3" t="inlineStr">
        <is>
          <t xml:space="preserve">OK</t>
        </is>
      </c>
    </row>
    <row r="107">
      <c r="B107" s="1" t="inlineStr">
        <is>
          <t xml:space="preserve">Put formula "=REPT(""ab"",0)" into cell A77.</t>
        </is>
      </c>
      <c r="C107" s="3" t="inlineStr">
        <is>
          <t xml:space="preserve">OK</t>
        </is>
      </c>
    </row>
    <row r="108">
      <c r="B108" s="1" t="inlineStr">
        <is>
          <t xml:space="preserve">Put formula "=REPT(""ab"",-1)" into cell A78.</t>
        </is>
      </c>
      <c r="C108" s="3" t="inlineStr">
        <is>
          <t xml:space="preserve">OK</t>
        </is>
      </c>
    </row>
    <row r="109">
      <c r="B109" s="1" t="inlineStr">
        <is>
          <t xml:space="preserve">Put formula "=REPT(""ab"",2.9)" into cell A79.</t>
        </is>
      </c>
      <c r="C109" s="3" t="inlineStr">
        <is>
          <t xml:space="preserve">OK</t>
        </is>
      </c>
    </row>
    <row r="110">
      <c r="B110" s="1" t="inlineStr">
        <is>
          <t xml:space="preserve">Put formula "=REPT(""ab"",20000)" into cell A80.</t>
        </is>
      </c>
      <c r="C110" s="3" t="inlineStr">
        <is>
          <t xml:space="preserve">OK</t>
        </is>
      </c>
    </row>
    <row r="111">
      <c r="B111" s="1" t="inlineStr">
        <is>
          <t xml:space="preserve">Put formula "=LEN(REPT(""x"",32767))" into cell A81.</t>
        </is>
      </c>
      <c r="C111" s="3" t="inlineStr">
        <is>
          <t xml:space="preserve">OK</t>
        </is>
      </c>
    </row>
    <row r="112">
      <c r="B112" s="1" t="inlineStr">
        <is>
          <t xml:space="preserve">Put formula "=LEN(REPT(""x"",32767)&amp;""x"")" into cell A82.</t>
        </is>
      </c>
      <c r="C112" s="3" t="inlineStr">
        <is>
          <t xml:space="preserve">OK</t>
        </is>
      </c>
    </row>
    <row r="113">
      <c r="B113" s="1" t="inlineStr">
        <is>
          <t xml:space="preserve">Put formula "=LEN(REPT(""😀"",16383)&amp;""x"")" into cell A83.</t>
        </is>
      </c>
      <c r="C113" s="3" t="inlineStr">
        <is>
          <t xml:space="preserve">OK</t>
        </is>
      </c>
    </row>
    <row r="114">
      <c r="B114" s="1" t="inlineStr">
        <is>
          <t xml:space="preserve">Put formula "=LEN(REPT(""😀"",16384))" into cell A84.</t>
        </is>
      </c>
      <c r="C114" s="3" t="inlineStr">
        <is>
          <t xml:space="preserve">OK</t>
        </is>
      </c>
    </row>
    <row r="115">
      <c r="B115" s="1" t="inlineStr">
        <is>
          <t xml:space="preserve">Put formula "=LEN(CONCATENATE(REPT(""x"",32767),""x""))" into cell A85.</t>
        </is>
      </c>
      <c r="C115" s="3" t="inlineStr">
        <is>
          <t xml:space="preserve">OK</t>
        </is>
      </c>
    </row>
    <row r="116">
      <c r="B116" s="1" t="inlineStr">
        <is>
          <t xml:space="preserve">Put formula "=LEN(SUBSTITUTE(REPT(""x"",20000),""x"",""yy""))" into cell A86.</t>
        </is>
      </c>
      <c r="C116" s="3" t="inlineStr">
        <is>
          <t xml:space="preserve">OK</t>
        </is>
      </c>
    </row>
    <row r="117">
      <c r="B117" s="1" t="inlineStr">
        <is>
          <t xml:space="preserve">Put formula "=VALUE(Data!C3)" into cell A87.</t>
        </is>
      </c>
      <c r="C117" s="3" t="inlineStr">
        <is>
          <t xml:space="preserve">OK</t>
        </is>
      </c>
    </row>
    <row r="118">
      <c r="B118" s="1" t="inlineStr">
        <is>
          <t xml:space="preserve">Put formula "=VALUE(Data!C4)" into cell A88.</t>
        </is>
      </c>
      <c r="C118" s="3" t="inlineStr">
        <is>
          <t xml:space="preserve">OK</t>
        </is>
      </c>
    </row>
    <row r="119">
      <c r="B119" s="1" t="inlineStr">
        <is>
          <t xml:space="preserve">Put formula "=VALUE(5)" into cell A89.</t>
        </is>
      </c>
      <c r="C119" s="3" t="inlineStr">
        <is>
          <t xml:space="preserve">OK</t>
        </is>
      </c>
    </row>
    <row r="120">
      <c r="B120" s="1" t="inlineStr">
        <is>
          <t xml:space="preserve">Put formula "=VALUE(Data!C5)" into cell A90.</t>
        </is>
      </c>
      <c r="C120" s="3" t="inlineStr">
        <is>
          <t xml:space="preserve">OK</t>
        </is>
      </c>
    </row>
    <row r="121">
      <c r="B121" s="1" t="inlineStr">
        <is>
          <t xml:space="preserve">Put formula "=VALUE(Data!A8)" into cell A91.</t>
        </is>
      </c>
      <c r="C121" s="3" t="inlineStr">
        <is>
          <t xml:space="preserve">OK</t>
        </is>
      </c>
    </row>
    <row r="122">
      <c r="B122" s="1" t="inlineStr">
        <is>
          <t xml:space="preserve">Put formula "=VALUE(Data!C1)" into cell A92.</t>
        </is>
      </c>
      <c r="C122" s="3" t="inlineStr">
        <is>
          <t xml:space="preserve">OK</t>
        </is>
      </c>
    </row>
    <row r="123">
      <c r="B123" s="1" t="inlineStr">
        <is>
          <t xml:space="preserve">Put formula "=VALUE(Data!C2)" into cell A93.</t>
        </is>
      </c>
      <c r="C123" s="3" t="inlineStr">
        <is>
          <t xml:space="preserve">OK</t>
        </is>
      </c>
    </row>
    <row r="124">
      <c r="B124" s="1" t="inlineStr">
        <is>
          <t xml:space="preserve">Put formula "=VALUE(""1e3"")" into cell A94.</t>
        </is>
      </c>
      <c r="C124" s="3" t="inlineStr">
        <is>
          <t xml:space="preserve">OK</t>
        </is>
      </c>
    </row>
    <row r="125">
      <c r="B125" s="1" t="inlineStr">
        <is>
          <t xml:space="preserve">Put formula "=VALUE(""-.5"")" into cell A95.</t>
        </is>
      </c>
      <c r="C125" s="3" t="inlineStr">
        <is>
          <t xml:space="preserve">OK</t>
        </is>
      </c>
    </row>
    <row r="126">
      <c r="B126" s="1" t="inlineStr">
        <is>
          <t xml:space="preserve">Put formula "=VALUE("""")" into cell A96.</t>
        </is>
      </c>
      <c r="C126" s="3" t="inlineStr">
        <is>
          <t xml:space="preserve">OK</t>
        </is>
      </c>
    </row>
    <row r="127">
      <c r="B127" s="1" t="inlineStr">
        <is>
          <t xml:space="preserve">Put formula "=T(Data!A1)" into cell A97.</t>
        </is>
      </c>
      <c r="C127" s="3" t="inlineStr">
        <is>
          <t xml:space="preserve">OK</t>
        </is>
      </c>
    </row>
    <row r="128">
      <c r="B128" s="1" t="inlineStr">
        <is>
          <t xml:space="preserve">Put formula "=T(5)" into cell A98.</t>
        </is>
      </c>
      <c r="C128" s="3" t="inlineStr">
        <is>
          <t xml:space="preserve">OK</t>
        </is>
      </c>
    </row>
    <row r="129">
      <c r="B129" s="1" t="inlineStr">
        <is>
          <t xml:space="preserve">Put formula "=T(Data!A9)" into cell A99.</t>
        </is>
      </c>
      <c r="C129" s="3" t="inlineStr">
        <is>
          <t xml:space="preserve">OK</t>
        </is>
      </c>
    </row>
    <row r="130">
      <c r="B130" s="1" t="inlineStr">
        <is>
          <t xml:space="preserve">Put formula "=T(Data!A8)" into cell A100.</t>
        </is>
      </c>
      <c r="C130" s="3" t="inlineStr">
        <is>
          <t xml:space="preserve">OK</t>
        </is>
      </c>
    </row>
    <row r="131">
      <c r="B131" s="1" t="inlineStr">
        <is>
          <t xml:space="preserve">Put formula "=N(5)" into cell A101.</t>
        </is>
      </c>
      <c r="C131" s="3" t="inlineStr">
        <is>
          <t xml:space="preserve">OK</t>
        </is>
      </c>
    </row>
    <row r="132">
      <c r="B132" s="1" t="inlineStr">
        <is>
          <t xml:space="preserve">Put formula "=N(Data!A8)" into cell A102.</t>
        </is>
      </c>
      <c r="C132" s="3" t="inlineStr">
        <is>
          <t xml:space="preserve">OK</t>
        </is>
      </c>
    </row>
    <row r="133">
      <c r="B133" s="1" t="inlineStr">
        <is>
          <t xml:space="preserve">Put formula "=N(""x"")" into cell A103.</t>
        </is>
      </c>
      <c r="C133" s="3" t="inlineStr">
        <is>
          <t xml:space="preserve">OK</t>
        </is>
      </c>
    </row>
    <row r="134">
      <c r="B134" s="1" t="inlineStr">
        <is>
          <t xml:space="preserve">Put formula "=N(Data!A9)" into cell A104.</t>
        </is>
      </c>
      <c r="C134" s="3" t="inlineStr">
        <is>
          <t xml:space="preserve">OK</t>
        </is>
      </c>
    </row>
    <row r="135">
      <c r="B135" s="1" t="inlineStr">
        <is>
          <t xml:space="preserve">Put formula "=N(Data!A1)" into cell A105.</t>
        </is>
      </c>
      <c r="C135" s="3" t="inlineStr">
        <is>
          <t xml:space="preserve">OK</t>
        </is>
      </c>
    </row>
    <row r="136">
      <c r="B136" s="1" t="inlineStr">
        <is>
          <t xml:space="preserve">Put formula "=UNICODE(""A"")" into cell A106.</t>
        </is>
      </c>
      <c r="C136" s="3" t="inlineStr">
        <is>
          <t xml:space="preserve">OK</t>
        </is>
      </c>
    </row>
    <row r="137">
      <c r="B137" s="1" t="inlineStr">
        <is>
          <t xml:space="preserve">Put formula "=UNICODE(Data!A5)" into cell A107.</t>
        </is>
      </c>
      <c r="C137" s="3" t="inlineStr">
        <is>
          <t xml:space="preserve">OK</t>
        </is>
      </c>
    </row>
    <row r="138">
      <c r="B138" s="1" t="inlineStr">
        <is>
          <t xml:space="preserve">Put formula "=UNICODE("""")" into cell A108.</t>
        </is>
      </c>
      <c r="C138" s="3" t="inlineStr">
        <is>
          <t xml:space="preserve">OK</t>
        </is>
      </c>
    </row>
    <row r="139">
      <c r="B139" s="1" t="inlineStr">
        <is>
          <t xml:space="preserve">Put formula "=UNICODE(""é"")" into cell A109.</t>
        </is>
      </c>
      <c r="C139" s="3" t="inlineStr">
        <is>
          <t xml:space="preserve">OK</t>
        </is>
      </c>
    </row>
    <row r="140">
      <c r="B140" s="1" t="inlineStr">
        <is>
          <t xml:space="preserve">Put formula "=UNICHAR(65)" into cell A110.</t>
        </is>
      </c>
      <c r="C140" s="3" t="inlineStr">
        <is>
          <t xml:space="preserve">OK</t>
        </is>
      </c>
    </row>
    <row r="141">
      <c r="B141" s="1" t="inlineStr">
        <is>
          <t xml:space="preserve">Put formula "=UNICHAR(233)" into cell A111.</t>
        </is>
      </c>
      <c r="C141" s="3" t="inlineStr">
        <is>
          <t xml:space="preserve">OK</t>
        </is>
      </c>
    </row>
    <row r="142">
      <c r="B142" s="1" t="inlineStr">
        <is>
          <t xml:space="preserve">Put formula "=UNICHAR(128512)" into cell A112.</t>
        </is>
      </c>
      <c r="C142" s="3" t="inlineStr">
        <is>
          <t xml:space="preserve">OK</t>
        </is>
      </c>
    </row>
    <row r="143">
      <c r="B143" s="1" t="inlineStr">
        <is>
          <t xml:space="preserve">Put formula "=UNICHAR(55296)" into cell A113.</t>
        </is>
      </c>
      <c r="C143" s="3" t="inlineStr">
        <is>
          <t xml:space="preserve">OK</t>
        </is>
      </c>
    </row>
    <row r="144">
      <c r="B144" s="1" t="inlineStr">
        <is>
          <t xml:space="preserve">Put formula "=UNICHAR(0)" into cell A114.</t>
        </is>
      </c>
      <c r="C144" s="3" t="inlineStr">
        <is>
          <t xml:space="preserve">OK</t>
        </is>
      </c>
    </row>
    <row r="145">
      <c r="B145" s="1" t="inlineStr">
        <is>
          <t xml:space="preserve">Put formula "=UNICHAR(1114112)" into cell A115.</t>
        </is>
      </c>
      <c r="C145" s="3" t="inlineStr">
        <is>
          <t xml:space="preserve">OK</t>
        </is>
      </c>
    </row>
    <row r="146">
      <c r="B146" s="1" t="inlineStr">
        <is>
          <t xml:space="preserve">Put formula "=UNICHAR(65.9)" into cell A116.</t>
        </is>
      </c>
      <c r="C146" s="3" t="inlineStr">
        <is>
          <t xml:space="preserve">OK</t>
        </is>
      </c>
    </row>
    <row r="147">
      <c r="B147" s="1" t="inlineStr">
        <is>
          <t xml:space="preserve">Put formula "=CHAR(65)" into cell A117.</t>
        </is>
      </c>
      <c r="C147" s="3" t="inlineStr">
        <is>
          <t xml:space="preserve">OK</t>
        </is>
      </c>
    </row>
    <row r="148">
      <c r="B148" s="1" t="inlineStr">
        <is>
          <t xml:space="preserve">Put formula "=CHAR(32)" into cell A118.</t>
        </is>
      </c>
      <c r="C148" s="3" t="inlineStr">
        <is>
          <t xml:space="preserve">OK</t>
        </is>
      </c>
    </row>
    <row r="149">
      <c r="B149" s="1" t="inlineStr">
        <is>
          <t xml:space="preserve">Put formula "=CHAR(126)" into cell A119.</t>
        </is>
      </c>
      <c r="C149" s="3" t="inlineStr">
        <is>
          <t xml:space="preserve">OK</t>
        </is>
      </c>
    </row>
    <row r="150">
      <c r="B150" s="1" t="inlineStr">
        <is>
          <t xml:space="preserve">Put formula "=CHAR(200)" into cell A120.</t>
        </is>
      </c>
      <c r="C150" s="3" t="inlineStr">
        <is>
          <t xml:space="preserve">OK</t>
        </is>
      </c>
    </row>
    <row r="151">
      <c r="B151" s="1" t="inlineStr">
        <is>
          <t xml:space="preserve">Put formula "=CHAR(0)" into cell A121.</t>
        </is>
      </c>
      <c r="C151" s="3" t="inlineStr">
        <is>
          <t xml:space="preserve">OK</t>
        </is>
      </c>
    </row>
    <row r="152">
      <c r="B152" s="1" t="inlineStr">
        <is>
          <t xml:space="preserve">Put formula "=CHAR(256)" into cell A122.</t>
        </is>
      </c>
      <c r="C152" s="3" t="inlineStr">
        <is>
          <t xml:space="preserve">OK</t>
        </is>
      </c>
    </row>
    <row r="153">
      <c r="B153" s="1" t="inlineStr">
        <is>
          <t xml:space="preserve">Put formula "=CODE(""A"")" into cell A123.</t>
        </is>
      </c>
      <c r="C153" s="3" t="inlineStr">
        <is>
          <t xml:space="preserve">OK</t>
        </is>
      </c>
    </row>
    <row r="154">
      <c r="B154" s="1" t="inlineStr">
        <is>
          <t xml:space="preserve">Put formula "=CODE(""abc"")" into cell A124.</t>
        </is>
      </c>
      <c r="C154" s="3" t="inlineStr">
        <is>
          <t xml:space="preserve">OK</t>
        </is>
      </c>
    </row>
    <row r="155">
      <c r="B155" s="1" t="inlineStr">
        <is>
          <t xml:space="preserve">Put formula "=CODE(""é"")" into cell A125.</t>
        </is>
      </c>
      <c r="C155" s="3" t="inlineStr">
        <is>
          <t xml:space="preserve">OK</t>
        </is>
      </c>
    </row>
    <row r="156">
      <c r="B156" s="1" t="inlineStr">
        <is>
          <t xml:space="preserve">Put formula "=CODE("""")" into cell A126.</t>
        </is>
      </c>
      <c r="C156" s="3" t="inlineStr">
        <is>
          <t xml:space="preserve">OK</t>
        </is>
      </c>
    </row>
    <row r="157">
      <c r="B157" s="1" t="inlineStr">
        <is>
          <t xml:space="preserve">Put formula "=CONCATENATE(""a"",1,TRUE)" into cell A127.</t>
        </is>
      </c>
      <c r="C157" s="3" t="inlineStr">
        <is>
          <t xml:space="preserve">OK</t>
        </is>
      </c>
    </row>
    <row r="158">
      <c r="B158" s="1" t="inlineStr">
        <is>
          <t xml:space="preserve">Put formula "=CONCATENATE(Data!A9,""x"")" into cell A128.</t>
        </is>
      </c>
      <c r="C158" s="3" t="inlineStr">
        <is>
          <t xml:space="preserve">OK</t>
        </is>
      </c>
    </row>
    <row r="159">
      <c r="B159" s="1" t="inlineStr">
        <is>
          <t xml:space="preserve">Put formula "=CONCATENATE(""a"",Data!B2,""b"")" into cell A129.</t>
        </is>
      </c>
      <c r="C159" s="3" t="inlineStr">
        <is>
          <t xml:space="preserve">OK</t>
        </is>
      </c>
    </row>
    <row r="160">
      <c r="B160" s="1" t="inlineStr">
        <is>
          <t xml:space="preserve">Put formula "=CONCAT(Data!B1:B3)" into cell A130.</t>
        </is>
      </c>
      <c r="C160" s="3" t="inlineStr">
        <is>
          <t xml:space="preserve">OK</t>
        </is>
      </c>
    </row>
    <row r="161">
      <c r="B161" s="1" t="inlineStr">
        <is>
          <t xml:space="preserve">Put formula "=CONCAT(""a"",Data!B1:B3,""b"")" into cell A131.</t>
        </is>
      </c>
      <c r="C161" s="3" t="inlineStr">
        <is>
          <t xml:space="preserve">OK</t>
        </is>
      </c>
    </row>
    <row r="162">
      <c r="B162" s="1" t="inlineStr">
        <is>
          <t xml:space="preserve">Put formula "=CONCAT(Data!A8:A9)" into cell A132.</t>
        </is>
      </c>
      <c r="C162" s="3" t="inlineStr">
        <is>
          <t xml:space="preserve">OK</t>
        </is>
      </c>
    </row>
    <row r="163">
      <c r="B163" s="1" t="inlineStr">
        <is>
          <t xml:space="preserve">Put formula "=CONCAT(Data!C1:D2)" into cell A133.</t>
        </is>
      </c>
      <c r="C163" s="3" t="inlineStr">
        <is>
          <t xml:space="preserve">OK</t>
        </is>
      </c>
    </row>
    <row r="164">
      <c r="B164" s="1" t="inlineStr">
        <is>
          <t xml:space="preserve">Put formula "=TEXTJOIN("","",TRUE,Data!B1:B3)" into cell A134.</t>
        </is>
      </c>
      <c r="C164" s="3" t="inlineStr">
        <is>
          <t xml:space="preserve">OK</t>
        </is>
      </c>
    </row>
    <row r="165">
      <c r="B165" s="1" t="inlineStr">
        <is>
          <t xml:space="preserve">Put formula "=TEXTJOIN("","",FALSE,Data!B1:B3)" into cell A135.</t>
        </is>
      </c>
      <c r="C165" s="3" t="inlineStr">
        <is>
          <t xml:space="preserve">OK</t>
        </is>
      </c>
    </row>
    <row r="166">
      <c r="B166" s="1" t="inlineStr">
        <is>
          <t xml:space="preserve">Put formula "=TEXTJOIN("","",TRUE,""a"","""",""b"")" into cell A136.</t>
        </is>
      </c>
      <c r="C166" s="3" t="inlineStr">
        <is>
          <t xml:space="preserve">OK</t>
        </is>
      </c>
    </row>
    <row r="167">
      <c r="B167" s="1" t="inlineStr">
        <is>
          <t xml:space="preserve">Put formula "=TEXTJOIN("","",FALSE,""a"","""",""b"")" into cell A137.</t>
        </is>
      </c>
      <c r="C167" s="3" t="inlineStr">
        <is>
          <t xml:space="preserve">OK</t>
        </is>
      </c>
    </row>
    <row r="168">
      <c r="B168" s="1" t="inlineStr">
        <is>
          <t xml:space="preserve">Put formula "=TEXTJOIN("""",FALSE,Data!B1:B3)" into cell A138.</t>
        </is>
      </c>
      <c r="C168" s="3" t="inlineStr">
        <is>
          <t xml:space="preserve">OK</t>
        </is>
      </c>
    </row>
    <row r="169">
      <c r="B169" s="1" t="inlineStr">
        <is>
          <t xml:space="preserve">Put formula "=TEXTJOIN(Data!D1:D2,TRUE,""a"",""b"",""c"")" into cell A139.</t>
        </is>
      </c>
      <c r="C169" s="3" t="inlineStr">
        <is>
          <t xml:space="preserve">OK</t>
        </is>
      </c>
    </row>
    <row r="170">
      <c r="B170" s="1" t="inlineStr">
        <is>
          <t xml:space="preserve">Put formula "=TEXTJOIN("","",TRUE,Data!A9)" into cell A140.</t>
        </is>
      </c>
      <c r="C170" s="3" t="inlineStr">
        <is>
          <t xml:space="preserve">OK</t>
        </is>
      </c>
    </row>
    <row r="171">
      <c r="B171" s="1" t="inlineStr">
        <is>
          <t xml:space="preserve">Put formula "=TEXTJOIN("", "",TRUE,Data!C1:D2)" into cell A141.</t>
        </is>
      </c>
      <c r="C171" s="3" t="inlineStr">
        <is>
          <t xml:space="preserve">OK</t>
        </is>
      </c>
    </row>
    <row r="172">
      <c r="B172" s="1" t="inlineStr">
        <is>
          <t xml:space="preserve">Put formula "=LEN(TEXTJOIN("","",FALSE,Data!B:B))" into cell A142.</t>
        </is>
      </c>
      <c r="C172" s="3" t="inlineStr">
        <is>
          <t xml:space="preserve">OK</t>
        </is>
      </c>
    </row>
    <row r="173">
      <c r="B173" s="1" t="inlineStr">
        <is>
          <t xml:space="preserve">Put formula "=TEXT(1234.5,""#,##0.00"")" into cell A143.</t>
        </is>
      </c>
      <c r="C173" s="3" t="inlineStr">
        <is>
          <t xml:space="preserve">OK</t>
        </is>
      </c>
    </row>
    <row r="174">
      <c r="B174" s="1" t="inlineStr">
        <is>
          <t xml:space="preserve">Put formula "=TEXT(0.256,""0.0%"")" into cell A144.</t>
        </is>
      </c>
      <c r="C174" s="3" t="inlineStr">
        <is>
          <t xml:space="preserve">OK</t>
        </is>
      </c>
    </row>
    <row r="175">
      <c r="B175" s="1" t="inlineStr">
        <is>
          <t xml:space="preserve">Put formula "=TEXT(45292,""yyyy-mm-dd"")" into cell A145.</t>
        </is>
      </c>
      <c r="C175" s="3" t="inlineStr">
        <is>
          <t xml:space="preserve">OK</t>
        </is>
      </c>
    </row>
    <row r="176">
      <c r="B176" s="1" t="inlineStr">
        <is>
          <t xml:space="preserve">Put formula "=TEXT(45292,""dddd, mmmm d"")" into cell A146.</t>
        </is>
      </c>
      <c r="C176" s="3" t="inlineStr">
        <is>
          <t xml:space="preserve">OK</t>
        </is>
      </c>
    </row>
    <row r="177">
      <c r="B177" s="1" t="inlineStr">
        <is>
          <t xml:space="preserve">Put formula "=TEXT(45292,""ddd d mmm yy"")" into cell A147.</t>
        </is>
      </c>
      <c r="C177" s="3" t="inlineStr">
        <is>
          <t xml:space="preserve">OK</t>
        </is>
      </c>
    </row>
    <row r="178">
      <c r="B178" s="1" t="inlineStr">
        <is>
          <t xml:space="preserve">Put formula "=TEXT(45292,""mmmmm"")" into cell A148.</t>
        </is>
      </c>
      <c r="C178" s="3" t="inlineStr">
        <is>
          <t xml:space="preserve">OK</t>
        </is>
      </c>
    </row>
    <row r="179">
      <c r="B179" s="1" t="inlineStr">
        <is>
          <t xml:space="preserve">Put formula "=TEXT(45292,""d/m/yyyy"")" into cell A149.</t>
        </is>
      </c>
      <c r="C179" s="3" t="inlineStr">
        <is>
          <t xml:space="preserve">OK</t>
        </is>
      </c>
    </row>
    <row r="180">
      <c r="B180" s="1" t="inlineStr">
        <is>
          <t xml:space="preserve">Put formula "=TEXT(60,""yyyy-mm-dd"")" into cell A150.</t>
        </is>
      </c>
      <c r="C180" s="3" t="inlineStr">
        <is>
          <t xml:space="preserve">OK</t>
        </is>
      </c>
    </row>
    <row r="181">
      <c r="B181" s="1" t="inlineStr">
        <is>
          <t xml:space="preserve">Put formula "=TEXT(0,""yyyy-mm-dd ddd"")" into cell A151.</t>
        </is>
      </c>
      <c r="C181" s="3" t="inlineStr">
        <is>
          <t xml:space="preserve">OK</t>
        </is>
      </c>
    </row>
    <row r="182">
      <c r="B182" s="1" t="inlineStr">
        <is>
          <t xml:space="preserve">Put formula "=TEXT(1,""dddd"")" into cell A152.</t>
        </is>
      </c>
      <c r="C182" s="3" t="inlineStr">
        <is>
          <t xml:space="preserve">OK</t>
        </is>
      </c>
    </row>
    <row r="183">
      <c r="B183" s="1" t="inlineStr">
        <is>
          <t xml:space="preserve">Put formula "=TEXT(2958465,""yyyy-mm-dd"")" into cell A153.</t>
        </is>
      </c>
      <c r="C183" s="3" t="inlineStr">
        <is>
          <t xml:space="preserve">OK</t>
        </is>
      </c>
    </row>
    <row r="184">
      <c r="B184" s="1" t="inlineStr">
        <is>
          <t xml:space="preserve">Put formula "=TEXT(0.75,""h:mm AM/PM"")" into cell A154.</t>
        </is>
      </c>
      <c r="C184" s="3" t="inlineStr">
        <is>
          <t xml:space="preserve">OK</t>
        </is>
      </c>
    </row>
    <row r="185">
      <c r="B185" s="1" t="inlineStr">
        <is>
          <t xml:space="preserve">Put formula "=TEXT(0.75,""hh:mm:ss"")" into cell A155.</t>
        </is>
      </c>
      <c r="C185" s="3" t="inlineStr">
        <is>
          <t xml:space="preserve">OK</t>
        </is>
      </c>
    </row>
    <row r="186">
      <c r="B186" s="1" t="inlineStr">
        <is>
          <t xml:space="preserve">Put formula "=TEXT(0.5,""h:mm a/p"")" into cell A156.</t>
        </is>
      </c>
      <c r="C186" s="3" t="inlineStr">
        <is>
          <t xml:space="preserve">OK</t>
        </is>
      </c>
    </row>
    <row r="187">
      <c r="B187" s="1" t="inlineStr">
        <is>
          <t xml:space="preserve">Put formula "=TEXT(1.5,""[h]:mm"")" into cell A157.</t>
        </is>
      </c>
      <c r="C187" s="3" t="inlineStr">
        <is>
          <t xml:space="preserve">OK</t>
        </is>
      </c>
    </row>
    <row r="188">
      <c r="B188" s="1" t="inlineStr">
        <is>
          <t xml:space="preserve">Put formula "=TEXT(1/24,""[mm]:ss"")" into cell A158.</t>
        </is>
      </c>
      <c r="C188" s="3" t="inlineStr">
        <is>
          <t xml:space="preserve">OK</t>
        </is>
      </c>
    </row>
    <row r="189">
      <c r="B189" s="1" t="inlineStr">
        <is>
          <t xml:space="preserve">Put formula "=TEXT(1.5/86400,""mm:ss.00"")" into cell A159.</t>
        </is>
      </c>
      <c r="C189" s="3" t="inlineStr">
        <is>
          <t xml:space="preserve">OK</t>
        </is>
      </c>
    </row>
    <row r="190">
      <c r="B190" s="1" t="inlineStr">
        <is>
          <t xml:space="preserve">Put formula "=TEXT(0.99999999,""h:mm:ss"")" into cell A160.</t>
        </is>
      </c>
      <c r="C190" s="3" t="inlineStr">
        <is>
          <t xml:space="preserve">OK</t>
        </is>
      </c>
    </row>
    <row r="191">
      <c r="B191" s="1" t="inlineStr">
        <is>
          <t xml:space="preserve">Put formula "=TEXT(59.6/86400,""h:mm"")" into cell A161.</t>
        </is>
      </c>
      <c r="C191" s="3" t="inlineStr">
        <is>
          <t xml:space="preserve">OK</t>
        </is>
      </c>
    </row>
    <row r="192">
      <c r="B192" s="1" t="inlineStr">
        <is>
          <t xml:space="preserve">Put formula "=TEXT(45292.75,""yyyy-mm-dd hh:mm"")" into cell A162.</t>
        </is>
      </c>
      <c r="C192" s="3" t="inlineStr">
        <is>
          <t xml:space="preserve">OK</t>
        </is>
      </c>
    </row>
    <row r="193">
      <c r="B193" s="1" t="inlineStr">
        <is>
          <t xml:space="preserve">Put formula "=TEXT(""12"",""0.00"")" into cell A163.</t>
        </is>
      </c>
      <c r="C193" s="3" t="inlineStr">
        <is>
          <t xml:space="preserve">OK</t>
        </is>
      </c>
    </row>
    <row r="194">
      <c r="B194" s="1" t="inlineStr">
        <is>
          <t xml:space="preserve">Put formula "=TEXT(""abc"",""0.00"")" into cell A164.</t>
        </is>
      </c>
      <c r="C194" s="3" t="inlineStr">
        <is>
          <t xml:space="preserve">OK</t>
        </is>
      </c>
    </row>
    <row r="195">
      <c r="B195" s="1" t="inlineStr">
        <is>
          <t xml:space="preserve">Put formula "=TEXT(""abc"",""0;0;0;""""&lt;""""@""""&gt;"""""")" into cell A165.</t>
        </is>
      </c>
      <c r="C195" s="3" t="inlineStr">
        <is>
          <t xml:space="preserve">OK</t>
        </is>
      </c>
    </row>
    <row r="196">
      <c r="B196" s="1" t="inlineStr">
        <is>
          <t xml:space="preserve">Put formula "=TEXT(Data!A8,""0"")" into cell A166.</t>
        </is>
      </c>
      <c r="C196" s="3" t="inlineStr">
        <is>
          <t xml:space="preserve">OK</t>
        </is>
      </c>
    </row>
    <row r="197">
      <c r="B197" s="1" t="inlineStr">
        <is>
          <t xml:space="preserve">Put formula "=TEXT(-1,""yyyy"")" into cell A167.</t>
        </is>
      </c>
      <c r="C197" s="3" t="inlineStr">
        <is>
          <t xml:space="preserve">OK</t>
        </is>
      </c>
    </row>
    <row r="198">
      <c r="B198" s="1" t="inlineStr">
        <is>
          <t xml:space="preserve">Put formula "=TEXT(2958466,""yyyy"")" into cell A168.</t>
        </is>
      </c>
      <c r="C198" s="3" t="inlineStr">
        <is>
          <t xml:space="preserve">OK</t>
        </is>
      </c>
    </row>
    <row r="199">
      <c r="B199" s="1" t="inlineStr">
        <is>
          <t xml:space="preserve">Put formula "=TEXT(1.5,""General"")" into cell A169.</t>
        </is>
      </c>
      <c r="C199" s="3" t="inlineStr">
        <is>
          <t xml:space="preserve">OK</t>
        </is>
      </c>
    </row>
    <row r="200">
      <c r="B200" s="1" t="inlineStr">
        <is>
          <t xml:space="preserve">Put formula "=TEXT(5,""@"")" into cell A170.</t>
        </is>
      </c>
      <c r="C200" s="3" t="inlineStr">
        <is>
          <t xml:space="preserve">OK</t>
        </is>
      </c>
    </row>
    <row r="201">
      <c r="B201" s="1" t="inlineStr">
        <is>
          <t xml:space="preserve">Put formula "=TEXT(5,"""")" into cell A171.</t>
        </is>
      </c>
      <c r="C201" s="3" t="inlineStr">
        <is>
          <t xml:space="preserve">OK</t>
        </is>
      </c>
    </row>
    <row r="202">
      <c r="B202" s="1" t="inlineStr">
        <is>
          <t xml:space="preserve">Put formula "=TEXT(Data!A9,""0"")" into cell A172.</t>
        </is>
      </c>
      <c r="C202" s="3" t="inlineStr">
        <is>
          <t xml:space="preserve">OK</t>
        </is>
      </c>
    </row>
    <row r="203">
      <c r="B203" s="1" t="inlineStr">
        <is>
          <t xml:space="preserve">Put formula "=""a""=""A""" into cell A173.</t>
        </is>
      </c>
      <c r="C203" s="3" t="inlineStr">
        <is>
          <t xml:space="preserve">OK</t>
        </is>
      </c>
    </row>
    <row r="204">
      <c r="B204" s="1" t="inlineStr">
        <is>
          <t xml:space="preserve">Put formula "=""é""=""É""" into cell A174.</t>
        </is>
      </c>
      <c r="C204" s="3" t="inlineStr">
        <is>
          <t xml:space="preserve">OK</t>
        </is>
      </c>
    </row>
    <row r="205">
      <c r="B205" s="1" t="inlineStr">
        <is>
          <t xml:space="preserve">Put formula "=""é""=""e""" into cell A175.</t>
        </is>
      </c>
      <c r="C205" s="3" t="inlineStr">
        <is>
          <t xml:space="preserve">OK</t>
        </is>
      </c>
    </row>
    <row r="206">
      <c r="B206" s="1" t="inlineStr">
        <is>
          <t xml:space="preserve">Put formula "=""ß""=""ss""" into cell A176.</t>
        </is>
      </c>
      <c r="C206" s="3" t="inlineStr">
        <is>
          <t xml:space="preserve">OK</t>
        </is>
      </c>
    </row>
    <row r="207">
      <c r="B207" s="1" t="inlineStr">
        <is>
          <t xml:space="preserve">Put formula "=""a""&lt;""B""" into cell A177.</t>
        </is>
      </c>
      <c r="C207" s="3" t="inlineStr">
        <is>
          <t xml:space="preserve">OK</t>
        </is>
      </c>
    </row>
    <row r="208">
      <c r="B208" s="1" t="inlineStr">
        <is>
          <t xml:space="preserve">Put formula "=""B""&lt;""a""" into cell A178.</t>
        </is>
      </c>
      <c r="C208" s="3" t="inlineStr">
        <is>
          <t xml:space="preserve">OK</t>
        </is>
      </c>
    </row>
    <row r="209">
      <c r="B209" s="1" t="inlineStr">
        <is>
          <t xml:space="preserve">Put formula "=""Z""&lt;""a""" into cell A179.</t>
        </is>
      </c>
      <c r="C209" s="3" t="inlineStr">
        <is>
          <t xml:space="preserve">OK</t>
        </is>
      </c>
    </row>
    <row r="210">
      <c r="B210" s="1" t="inlineStr">
        <is>
          <t xml:space="preserve">Put formula "=""-""&lt;""a""" into cell A180.</t>
        </is>
      </c>
      <c r="C210" s="3" t="inlineStr">
        <is>
          <t xml:space="preserve">OK</t>
        </is>
      </c>
    </row>
    <row r="211">
      <c r="B211" s="1" t="inlineStr">
        <is>
          <t xml:space="preserve">Put formula "="" ""&lt;""0""" into cell A181.</t>
        </is>
      </c>
      <c r="C211" s="3" t="inlineStr">
        <is>
          <t xml:space="preserve">OK</t>
        </is>
      </c>
    </row>
    <row r="212">
      <c r="B212" s="1" t="inlineStr">
        <is>
          <t xml:space="preserve">Put formula "=""0""&lt;""a""" into cell A182.</t>
        </is>
      </c>
      <c r="C212" s="3" t="inlineStr">
        <is>
          <t xml:space="preserve">OK</t>
        </is>
      </c>
    </row>
    <row r="213">
      <c r="B213" s="1" t="inlineStr">
        <is>
          <t xml:space="preserve">Put formula "=""_""&lt;""a""" into cell A183.</t>
        </is>
      </c>
      <c r="C213" s="3" t="inlineStr">
        <is>
          <t xml:space="preserve">OK</t>
        </is>
      </c>
    </row>
    <row r="214">
      <c r="B214" s="1" t="inlineStr">
        <is>
          <t xml:space="preserve">Put formula "=""[""&lt;""a""" into cell A184.</t>
        </is>
      </c>
      <c r="C214" s="3" t="inlineStr">
        <is>
          <t xml:space="preserve">OK</t>
        </is>
      </c>
    </row>
    <row r="215">
      <c r="B215" s="1" t="inlineStr">
        <is>
          <t xml:space="preserve">Put formula "=""~""&lt;""a""" into cell A185.</t>
        </is>
      </c>
      <c r="C215" s="3" t="inlineStr">
        <is>
          <t xml:space="preserve">OK</t>
        </is>
      </c>
    </row>
    <row r="216">
      <c r="B216" s="1" t="inlineStr">
        <is>
          <t xml:space="preserve">Put formula "=""é""&lt;""f""" into cell A186.</t>
        </is>
      </c>
      <c r="C216" s="3" t="inlineStr">
        <is>
          <t xml:space="preserve">OK</t>
        </is>
      </c>
    </row>
    <row r="217">
      <c r="B217" s="1" t="inlineStr">
        <is>
          <t xml:space="preserve">Put formula "=""e""&lt;""é""" into cell A187.</t>
        </is>
      </c>
      <c r="C217" s="3" t="inlineStr">
        <is>
          <t xml:space="preserve">OK</t>
        </is>
      </c>
    </row>
    <row r="218">
      <c r="B218" s="1" t="inlineStr">
        <is>
          <t xml:space="preserve">Put formula "=""co-op""&lt;""coop""" into cell A188.</t>
        </is>
      </c>
      <c r="C218" s="3" t="inlineStr">
        <is>
          <t xml:space="preserve">OK</t>
        </is>
      </c>
    </row>
    <row r="219">
      <c r="B219" s="1" t="inlineStr">
        <is>
          <t xml:space="preserve">Put formula "=""coop""&lt;""co-op""" into cell A189.</t>
        </is>
      </c>
      <c r="C219" s="3" t="inlineStr">
        <is>
          <t xml:space="preserve">OK</t>
        </is>
      </c>
    </row>
    <row r="220">
      <c r="B220" s="1" t="inlineStr">
        <is>
          <t xml:space="preserve">Put formula "=""a b""&lt;""ab""" into cell A190.</t>
        </is>
      </c>
      <c r="C220" s="3" t="inlineStr">
        <is>
          <t xml:space="preserve">OK</t>
        </is>
      </c>
    </row>
    <row r="221">
      <c r="B221" s="1" t="inlineStr">
        <is>
          <t xml:space="preserve">Put formula "=""a""&lt;""a """ into cell A191.</t>
        </is>
      </c>
      <c r="C221" s="3" t="inlineStr">
        <is>
          <t xml:space="preserve">OK</t>
        </is>
      </c>
    </row>
    <row r="222">
      <c r="B222" s="1" t="inlineStr">
        <is>
          <t xml:space="preserve">Put formula "=""10""&lt;""9""" into cell A192.</t>
        </is>
      </c>
      <c r="C222" s="3" t="inlineStr">
        <is>
          <t xml:space="preserve">OK</t>
        </is>
      </c>
    </row>
    <row r="224">
      <c r="B224" s="1" t="inlineStr">
        <is>
          <t xml:space="preserve">Work on sheet Order.</t>
        </is>
      </c>
      <c r="C224" s="3" t="inlineStr">
        <is>
          <t xml:space="preserve">OK</t>
        </is>
      </c>
    </row>
    <row r="225">
      <c r="B225" s="1" t="inlineStr">
        <is>
          <t xml:space="preserve">Put " " into cell A1.</t>
        </is>
      </c>
      <c r="C225" s="3" t="inlineStr">
        <is>
          <t xml:space="preserve">OK</t>
        </is>
      </c>
    </row>
    <row r="226">
      <c r="B226" s="1" t="inlineStr">
        <is>
          <t xml:space="preserve">Put formula "=SUMPRODUCT(--($A$1:$A$163&lt;A1))" into cell B1.</t>
        </is>
      </c>
      <c r="C226" s="3" t="inlineStr">
        <is>
          <t xml:space="preserve">OK</t>
        </is>
      </c>
    </row>
    <row r="227">
      <c r="B227" s="1" t="inlineStr">
        <is>
          <t xml:space="preserve">Put "!" into cell A2.</t>
        </is>
      </c>
      <c r="C227" s="3" t="inlineStr">
        <is>
          <t xml:space="preserve">OK</t>
        </is>
      </c>
    </row>
    <row r="228">
      <c r="B228" s="1" t="inlineStr">
        <is>
          <t xml:space="preserve">Put formula "=SUMPRODUCT(--($A$1:$A$163&lt;A2))" into cell B2.</t>
        </is>
      </c>
      <c r="C228" s="3" t="inlineStr">
        <is>
          <t xml:space="preserve">OK</t>
        </is>
      </c>
    </row>
    <row r="229">
      <c r="B229" s="1" t="inlineStr">
        <is>
          <t xml:space="preserve">Put """" into cell A3.</t>
        </is>
      </c>
      <c r="C229" s="3" t="inlineStr">
        <is>
          <t xml:space="preserve">OK</t>
        </is>
      </c>
    </row>
    <row r="230">
      <c r="B230" s="1" t="inlineStr">
        <is>
          <t xml:space="preserve">Put formula "=SUMPRODUCT(--($A$1:$A$163&lt;A3))" into cell B3.</t>
        </is>
      </c>
      <c r="C230" s="3" t="inlineStr">
        <is>
          <t xml:space="preserve">OK</t>
        </is>
      </c>
    </row>
    <row r="231">
      <c r="B231" s="1" t="inlineStr">
        <is>
          <t xml:space="preserve">Put "#" into cell A4.</t>
        </is>
      </c>
      <c r="C231" s="3" t="inlineStr">
        <is>
          <t xml:space="preserve">OK</t>
        </is>
      </c>
    </row>
    <row r="232">
      <c r="B232" s="1" t="inlineStr">
        <is>
          <t xml:space="preserve">Put formula "=SUMPRODUCT(--($A$1:$A$163&lt;A4))" into cell B4.</t>
        </is>
      </c>
      <c r="C232" s="3" t="inlineStr">
        <is>
          <t xml:space="preserve">OK</t>
        </is>
      </c>
    </row>
    <row r="233">
      <c r="B233" s="1" t="inlineStr">
        <is>
          <t xml:space="preserve">Put "$" into cell A5.</t>
        </is>
      </c>
      <c r="C233" s="3" t="inlineStr">
        <is>
          <t xml:space="preserve">OK</t>
        </is>
      </c>
    </row>
    <row r="234">
      <c r="B234" s="1" t="inlineStr">
        <is>
          <t xml:space="preserve">Put formula "=SUMPRODUCT(--($A$1:$A$163&lt;A5))" into cell B5.</t>
        </is>
      </c>
      <c r="C234" s="3" t="inlineStr">
        <is>
          <t xml:space="preserve">OK</t>
        </is>
      </c>
    </row>
    <row r="235">
      <c r="B235" s="1" t="inlineStr">
        <is>
          <t xml:space="preserve">Put "%" into cell A6.</t>
        </is>
      </c>
      <c r="C235" s="3" t="inlineStr">
        <is>
          <t xml:space="preserve">OK</t>
        </is>
      </c>
    </row>
    <row r="236">
      <c r="B236" s="1" t="inlineStr">
        <is>
          <t xml:space="preserve">Put formula "=SUMPRODUCT(--($A$1:$A$163&lt;A6))" into cell B6.</t>
        </is>
      </c>
      <c r="C236" s="3" t="inlineStr">
        <is>
          <t xml:space="preserve">OK</t>
        </is>
      </c>
    </row>
    <row r="237">
      <c r="B237" s="1" t="inlineStr">
        <is>
          <t xml:space="preserve">Put "&amp;" into cell A7.</t>
        </is>
      </c>
      <c r="C237" s="3" t="inlineStr">
        <is>
          <t xml:space="preserve">OK</t>
        </is>
      </c>
    </row>
    <row r="238">
      <c r="B238" s="1" t="inlineStr">
        <is>
          <t xml:space="preserve">Put formula "=SUMPRODUCT(--($A$1:$A$163&lt;A7))" into cell B7.</t>
        </is>
      </c>
      <c r="C238" s="3" t="inlineStr">
        <is>
          <t xml:space="preserve">OK</t>
        </is>
      </c>
    </row>
    <row r="239">
      <c r="B239" s="1" t="inlineStr">
        <is>
          <t xml:space="preserve">Put "'" into cell A8.</t>
        </is>
      </c>
      <c r="C239" s="3" t="inlineStr">
        <is>
          <t xml:space="preserve">OK</t>
        </is>
      </c>
    </row>
    <row r="240">
      <c r="B240" s="1" t="inlineStr">
        <is>
          <t xml:space="preserve">Put formula "=SUMPRODUCT(--($A$1:$A$163&lt;A8))" into cell B8.</t>
        </is>
      </c>
      <c r="C240" s="3" t="inlineStr">
        <is>
          <t xml:space="preserve">OK</t>
        </is>
      </c>
    </row>
    <row r="241">
      <c r="B241" s="1" t="inlineStr">
        <is>
          <t xml:space="preserve">Put "(" into cell A9.</t>
        </is>
      </c>
      <c r="C241" s="3" t="inlineStr">
        <is>
          <t xml:space="preserve">OK</t>
        </is>
      </c>
    </row>
    <row r="242">
      <c r="B242" s="1" t="inlineStr">
        <is>
          <t xml:space="preserve">Put formula "=SUMPRODUCT(--($A$1:$A$163&lt;A9))" into cell B9.</t>
        </is>
      </c>
      <c r="C242" s="3" t="inlineStr">
        <is>
          <t xml:space="preserve">OK</t>
        </is>
      </c>
    </row>
    <row r="243">
      <c r="B243" s="1" t="inlineStr">
        <is>
          <t xml:space="preserve">Put ")" into cell A10.</t>
        </is>
      </c>
      <c r="C243" s="3" t="inlineStr">
        <is>
          <t xml:space="preserve">OK</t>
        </is>
      </c>
    </row>
    <row r="244">
      <c r="B244" s="1" t="inlineStr">
        <is>
          <t xml:space="preserve">Put formula "=SUMPRODUCT(--($A$1:$A$163&lt;A10))" into cell B10.</t>
        </is>
      </c>
      <c r="C244" s="3" t="inlineStr">
        <is>
          <t xml:space="preserve">OK</t>
        </is>
      </c>
    </row>
    <row r="245">
      <c r="B245" s="1" t="inlineStr">
        <is>
          <t xml:space="preserve">Put "*" into cell A11.</t>
        </is>
      </c>
      <c r="C245" s="3" t="inlineStr">
        <is>
          <t xml:space="preserve">OK</t>
        </is>
      </c>
    </row>
    <row r="246">
      <c r="B246" s="1" t="inlineStr">
        <is>
          <t xml:space="preserve">Put formula "=SUMPRODUCT(--($A$1:$A$163&lt;A11))" into cell B11.</t>
        </is>
      </c>
      <c r="C246" s="3" t="inlineStr">
        <is>
          <t xml:space="preserve">OK</t>
        </is>
      </c>
    </row>
    <row r="247">
      <c r="B247" s="1" t="inlineStr">
        <is>
          <t xml:space="preserve">Put "+" into cell A12.</t>
        </is>
      </c>
      <c r="C247" s="3" t="inlineStr">
        <is>
          <t xml:space="preserve">OK</t>
        </is>
      </c>
    </row>
    <row r="248">
      <c r="B248" s="1" t="inlineStr">
        <is>
          <t xml:space="preserve">Put formula "=SUMPRODUCT(--($A$1:$A$163&lt;A12))" into cell B12.</t>
        </is>
      </c>
      <c r="C248" s="3" t="inlineStr">
        <is>
          <t xml:space="preserve">OK</t>
        </is>
      </c>
    </row>
    <row r="249">
      <c r="B249" s="1" t="inlineStr">
        <is>
          <t xml:space="preserve">Put "," into cell A13.</t>
        </is>
      </c>
      <c r="C249" s="3" t="inlineStr">
        <is>
          <t xml:space="preserve">OK</t>
        </is>
      </c>
    </row>
    <row r="250">
      <c r="B250" s="1" t="inlineStr">
        <is>
          <t xml:space="preserve">Put formula "=SUMPRODUCT(--($A$1:$A$163&lt;A13))" into cell B13.</t>
        </is>
      </c>
      <c r="C250" s="3" t="inlineStr">
        <is>
          <t xml:space="preserve">OK</t>
        </is>
      </c>
    </row>
    <row r="251">
      <c r="B251" s="1" t="inlineStr">
        <is>
          <t xml:space="preserve">Put "-" into cell A14.</t>
        </is>
      </c>
      <c r="C251" s="3" t="inlineStr">
        <is>
          <t xml:space="preserve">OK</t>
        </is>
      </c>
    </row>
    <row r="252">
      <c r="B252" s="1" t="inlineStr">
        <is>
          <t xml:space="preserve">Put formula "=SUMPRODUCT(--($A$1:$A$163&lt;A14))" into cell B14.</t>
        </is>
      </c>
      <c r="C252" s="3" t="inlineStr">
        <is>
          <t xml:space="preserve">OK</t>
        </is>
      </c>
    </row>
    <row r="253">
      <c r="B253" s="1" t="inlineStr">
        <is>
          <t xml:space="preserve">Put "." into cell A15.</t>
        </is>
      </c>
      <c r="C253" s="3" t="inlineStr">
        <is>
          <t xml:space="preserve">OK</t>
        </is>
      </c>
    </row>
    <row r="254">
      <c r="B254" s="1" t="inlineStr">
        <is>
          <t xml:space="preserve">Put formula "=SUMPRODUCT(--($A$1:$A$163&lt;A15))" into cell B15.</t>
        </is>
      </c>
      <c r="C254" s="3" t="inlineStr">
        <is>
          <t xml:space="preserve">OK</t>
        </is>
      </c>
    </row>
    <row r="255">
      <c r="B255" s="1" t="inlineStr">
        <is>
          <t xml:space="preserve">Put "/" into cell A16.</t>
        </is>
      </c>
      <c r="C255" s="3" t="inlineStr">
        <is>
          <t xml:space="preserve">OK</t>
        </is>
      </c>
    </row>
    <row r="256">
      <c r="B256" s="1" t="inlineStr">
        <is>
          <t xml:space="preserve">Put formula "=SUMPRODUCT(--($A$1:$A$163&lt;A16))" into cell B16.</t>
        </is>
      </c>
      <c r="C256" s="3" t="inlineStr">
        <is>
          <t xml:space="preserve">OK</t>
        </is>
      </c>
    </row>
    <row r="257">
      <c r="B257" s="1" t="inlineStr">
        <is>
          <t xml:space="preserve">Put "0" into cell A17.</t>
        </is>
      </c>
      <c r="C257" s="3" t="inlineStr">
        <is>
          <t xml:space="preserve">OK</t>
        </is>
      </c>
    </row>
    <row r="258">
      <c r="B258" s="1" t="inlineStr">
        <is>
          <t xml:space="preserve">Put formula "=SUMPRODUCT(--($A$1:$A$163&lt;A17))" into cell B17.</t>
        </is>
      </c>
      <c r="C258" s="3" t="inlineStr">
        <is>
          <t xml:space="preserve">OK</t>
        </is>
      </c>
    </row>
    <row r="259">
      <c r="B259" s="1" t="inlineStr">
        <is>
          <t xml:space="preserve">Put "1" into cell A18.</t>
        </is>
      </c>
      <c r="C259" s="3" t="inlineStr">
        <is>
          <t xml:space="preserve">OK</t>
        </is>
      </c>
    </row>
    <row r="260">
      <c r="B260" s="1" t="inlineStr">
        <is>
          <t xml:space="preserve">Put formula "=SUMPRODUCT(--($A$1:$A$163&lt;A18))" into cell B18.</t>
        </is>
      </c>
      <c r="C260" s="3" t="inlineStr">
        <is>
          <t xml:space="preserve">OK</t>
        </is>
      </c>
    </row>
    <row r="261">
      <c r="B261" s="1" t="inlineStr">
        <is>
          <t xml:space="preserve">Put "2" into cell A19.</t>
        </is>
      </c>
      <c r="C261" s="3" t="inlineStr">
        <is>
          <t xml:space="preserve">OK</t>
        </is>
      </c>
    </row>
    <row r="262">
      <c r="B262" s="1" t="inlineStr">
        <is>
          <t xml:space="preserve">Put formula "=SUMPRODUCT(--($A$1:$A$163&lt;A19))" into cell B19.</t>
        </is>
      </c>
      <c r="C262" s="3" t="inlineStr">
        <is>
          <t xml:space="preserve">OK</t>
        </is>
      </c>
    </row>
    <row r="263">
      <c r="B263" s="1" t="inlineStr">
        <is>
          <t xml:space="preserve">Put "3" into cell A20.</t>
        </is>
      </c>
      <c r="C263" s="3" t="inlineStr">
        <is>
          <t xml:space="preserve">OK</t>
        </is>
      </c>
    </row>
    <row r="264">
      <c r="B264" s="1" t="inlineStr">
        <is>
          <t xml:space="preserve">Put formula "=SUMPRODUCT(--($A$1:$A$163&lt;A20))" into cell B20.</t>
        </is>
      </c>
      <c r="C264" s="3" t="inlineStr">
        <is>
          <t xml:space="preserve">OK</t>
        </is>
      </c>
    </row>
    <row r="265">
      <c r="B265" s="1" t="inlineStr">
        <is>
          <t xml:space="preserve">Put "4" into cell A21.</t>
        </is>
      </c>
      <c r="C265" s="3" t="inlineStr">
        <is>
          <t xml:space="preserve">OK</t>
        </is>
      </c>
    </row>
    <row r="266">
      <c r="B266" s="1" t="inlineStr">
        <is>
          <t xml:space="preserve">Put formula "=SUMPRODUCT(--($A$1:$A$163&lt;A21))" into cell B21.</t>
        </is>
      </c>
      <c r="C266" s="3" t="inlineStr">
        <is>
          <t xml:space="preserve">OK</t>
        </is>
      </c>
    </row>
    <row r="267">
      <c r="B267" s="1" t="inlineStr">
        <is>
          <t xml:space="preserve">Put "5" into cell A22.</t>
        </is>
      </c>
      <c r="C267" s="3" t="inlineStr">
        <is>
          <t xml:space="preserve">OK</t>
        </is>
      </c>
    </row>
    <row r="268">
      <c r="B268" s="1" t="inlineStr">
        <is>
          <t xml:space="preserve">Put formula "=SUMPRODUCT(--($A$1:$A$163&lt;A22))" into cell B22.</t>
        </is>
      </c>
      <c r="C268" s="3" t="inlineStr">
        <is>
          <t xml:space="preserve">OK</t>
        </is>
      </c>
    </row>
    <row r="269">
      <c r="B269" s="1" t="inlineStr">
        <is>
          <t xml:space="preserve">Put "6" into cell A23.</t>
        </is>
      </c>
      <c r="C269" s="3" t="inlineStr">
        <is>
          <t xml:space="preserve">OK</t>
        </is>
      </c>
    </row>
    <row r="270">
      <c r="B270" s="1" t="inlineStr">
        <is>
          <t xml:space="preserve">Put formula "=SUMPRODUCT(--($A$1:$A$163&lt;A23))" into cell B23.</t>
        </is>
      </c>
      <c r="C270" s="3" t="inlineStr">
        <is>
          <t xml:space="preserve">OK</t>
        </is>
      </c>
    </row>
    <row r="271">
      <c r="B271" s="1" t="inlineStr">
        <is>
          <t xml:space="preserve">Put "7" into cell A24.</t>
        </is>
      </c>
      <c r="C271" s="3" t="inlineStr">
        <is>
          <t xml:space="preserve">OK</t>
        </is>
      </c>
    </row>
    <row r="272">
      <c r="B272" s="1" t="inlineStr">
        <is>
          <t xml:space="preserve">Put formula "=SUMPRODUCT(--($A$1:$A$163&lt;A24))" into cell B24.</t>
        </is>
      </c>
      <c r="C272" s="3" t="inlineStr">
        <is>
          <t xml:space="preserve">OK</t>
        </is>
      </c>
    </row>
    <row r="273">
      <c r="B273" s="1" t="inlineStr">
        <is>
          <t xml:space="preserve">Put "8" into cell A25.</t>
        </is>
      </c>
      <c r="C273" s="3" t="inlineStr">
        <is>
          <t xml:space="preserve">OK</t>
        </is>
      </c>
    </row>
    <row r="274">
      <c r="B274" s="1" t="inlineStr">
        <is>
          <t xml:space="preserve">Put formula "=SUMPRODUCT(--($A$1:$A$163&lt;A25))" into cell B25.</t>
        </is>
      </c>
      <c r="C274" s="3" t="inlineStr">
        <is>
          <t xml:space="preserve">OK</t>
        </is>
      </c>
    </row>
    <row r="275">
      <c r="B275" s="1" t="inlineStr">
        <is>
          <t xml:space="preserve">Put "9" into cell A26.</t>
        </is>
      </c>
      <c r="C275" s="3" t="inlineStr">
        <is>
          <t xml:space="preserve">OK</t>
        </is>
      </c>
    </row>
    <row r="276">
      <c r="B276" s="1" t="inlineStr">
        <is>
          <t xml:space="preserve">Put formula "=SUMPRODUCT(--($A$1:$A$163&lt;A26))" into cell B26.</t>
        </is>
      </c>
      <c r="C276" s="3" t="inlineStr">
        <is>
          <t xml:space="preserve">OK</t>
        </is>
      </c>
    </row>
    <row r="277">
      <c r="B277" s="1" t="inlineStr">
        <is>
          <t xml:space="preserve">Put ":" into cell A27.</t>
        </is>
      </c>
      <c r="C277" s="3" t="inlineStr">
        <is>
          <t xml:space="preserve">OK</t>
        </is>
      </c>
    </row>
    <row r="278">
      <c r="B278" s="1" t="inlineStr">
        <is>
          <t xml:space="preserve">Put formula "=SUMPRODUCT(--($A$1:$A$163&lt;A27))" into cell B27.</t>
        </is>
      </c>
      <c r="C278" s="3" t="inlineStr">
        <is>
          <t xml:space="preserve">OK</t>
        </is>
      </c>
    </row>
    <row r="279">
      <c r="B279" s="1" t="inlineStr">
        <is>
          <t xml:space="preserve">Put ";" into cell A28.</t>
        </is>
      </c>
      <c r="C279" s="3" t="inlineStr">
        <is>
          <t xml:space="preserve">OK</t>
        </is>
      </c>
    </row>
    <row r="280">
      <c r="B280" s="1" t="inlineStr">
        <is>
          <t xml:space="preserve">Put formula "=SUMPRODUCT(--($A$1:$A$163&lt;A28))" into cell B28.</t>
        </is>
      </c>
      <c r="C280" s="3" t="inlineStr">
        <is>
          <t xml:space="preserve">OK</t>
        </is>
      </c>
    </row>
    <row r="281">
      <c r="B281" s="1" t="inlineStr">
        <is>
          <t xml:space="preserve">Put "&lt;" into cell A29.</t>
        </is>
      </c>
      <c r="C281" s="3" t="inlineStr">
        <is>
          <t xml:space="preserve">OK</t>
        </is>
      </c>
    </row>
    <row r="282">
      <c r="B282" s="1" t="inlineStr">
        <is>
          <t xml:space="preserve">Put formula "=SUMPRODUCT(--($A$1:$A$163&lt;A29))" into cell B29.</t>
        </is>
      </c>
      <c r="C282" s="3" t="inlineStr">
        <is>
          <t xml:space="preserve">OK</t>
        </is>
      </c>
    </row>
    <row r="283">
      <c r="B283" s="1" t="inlineStr">
        <is>
          <t xml:space="preserve">Put "=" into cell A30.</t>
        </is>
      </c>
      <c r="C283" s="3" t="inlineStr">
        <is>
          <t xml:space="preserve">OK</t>
        </is>
      </c>
    </row>
    <row r="284">
      <c r="B284" s="1" t="inlineStr">
        <is>
          <t xml:space="preserve">Put formula "=SUMPRODUCT(--($A$1:$A$163&lt;A30))" into cell B30.</t>
        </is>
      </c>
      <c r="C284" s="3" t="inlineStr">
        <is>
          <t xml:space="preserve">OK</t>
        </is>
      </c>
    </row>
    <row r="285">
      <c r="B285" s="1" t="inlineStr">
        <is>
          <t xml:space="preserve">Put "&gt;" into cell A31.</t>
        </is>
      </c>
      <c r="C285" s="3" t="inlineStr">
        <is>
          <t xml:space="preserve">OK</t>
        </is>
      </c>
    </row>
    <row r="286">
      <c r="B286" s="1" t="inlineStr">
        <is>
          <t xml:space="preserve">Put formula "=SUMPRODUCT(--($A$1:$A$163&lt;A31))" into cell B31.</t>
        </is>
      </c>
      <c r="C286" s="3" t="inlineStr">
        <is>
          <t xml:space="preserve">OK</t>
        </is>
      </c>
    </row>
    <row r="287">
      <c r="B287" s="1" t="inlineStr">
        <is>
          <t xml:space="preserve">Put "?" into cell A32.</t>
        </is>
      </c>
      <c r="C287" s="3" t="inlineStr">
        <is>
          <t xml:space="preserve">OK</t>
        </is>
      </c>
    </row>
    <row r="288">
      <c r="B288" s="1" t="inlineStr">
        <is>
          <t xml:space="preserve">Put formula "=SUMPRODUCT(--($A$1:$A$163&lt;A32))" into cell B32.</t>
        </is>
      </c>
      <c r="C288" s="3" t="inlineStr">
        <is>
          <t xml:space="preserve">OK</t>
        </is>
      </c>
    </row>
    <row r="289">
      <c r="B289" s="1" t="inlineStr">
        <is>
          <t xml:space="preserve">Put "@" into cell A33.</t>
        </is>
      </c>
      <c r="C289" s="3" t="inlineStr">
        <is>
          <t xml:space="preserve">OK</t>
        </is>
      </c>
    </row>
    <row r="290">
      <c r="B290" s="1" t="inlineStr">
        <is>
          <t xml:space="preserve">Put formula "=SUMPRODUCT(--($A$1:$A$163&lt;A33))" into cell B33.</t>
        </is>
      </c>
      <c r="C290" s="3" t="inlineStr">
        <is>
          <t xml:space="preserve">OK</t>
        </is>
      </c>
    </row>
    <row r="291">
      <c r="B291" s="1" t="inlineStr">
        <is>
          <t xml:space="preserve">Put "A" into cell A34.</t>
        </is>
      </c>
      <c r="C291" s="3" t="inlineStr">
        <is>
          <t xml:space="preserve">OK</t>
        </is>
      </c>
    </row>
    <row r="292">
      <c r="B292" s="1" t="inlineStr">
        <is>
          <t xml:space="preserve">Put formula "=SUMPRODUCT(--($A$1:$A$163&lt;A34))" into cell B34.</t>
        </is>
      </c>
      <c r="C292" s="3" t="inlineStr">
        <is>
          <t xml:space="preserve">OK</t>
        </is>
      </c>
    </row>
    <row r="293">
      <c r="B293" s="1" t="inlineStr">
        <is>
          <t xml:space="preserve">Put "B" into cell A35.</t>
        </is>
      </c>
      <c r="C293" s="3" t="inlineStr">
        <is>
          <t xml:space="preserve">OK</t>
        </is>
      </c>
    </row>
    <row r="294">
      <c r="B294" s="1" t="inlineStr">
        <is>
          <t xml:space="preserve">Put formula "=SUMPRODUCT(--($A$1:$A$163&lt;A35))" into cell B35.</t>
        </is>
      </c>
      <c r="C294" s="3" t="inlineStr">
        <is>
          <t xml:space="preserve">OK</t>
        </is>
      </c>
    </row>
    <row r="295">
      <c r="B295" s="1" t="inlineStr">
        <is>
          <t xml:space="preserve">Put "C" into cell A36.</t>
        </is>
      </c>
      <c r="C295" s="3" t="inlineStr">
        <is>
          <t xml:space="preserve">OK</t>
        </is>
      </c>
    </row>
    <row r="296">
      <c r="B296" s="1" t="inlineStr">
        <is>
          <t xml:space="preserve">Put formula "=SUMPRODUCT(--($A$1:$A$163&lt;A36))" into cell B36.</t>
        </is>
      </c>
      <c r="C296" s="3" t="inlineStr">
        <is>
          <t xml:space="preserve">OK</t>
        </is>
      </c>
    </row>
    <row r="297">
      <c r="B297" s="1" t="inlineStr">
        <is>
          <t xml:space="preserve">Put "D" into cell A37.</t>
        </is>
      </c>
      <c r="C297" s="3" t="inlineStr">
        <is>
          <t xml:space="preserve">OK</t>
        </is>
      </c>
    </row>
    <row r="298">
      <c r="B298" s="1" t="inlineStr">
        <is>
          <t xml:space="preserve">Put formula "=SUMPRODUCT(--($A$1:$A$163&lt;A37))" into cell B37.</t>
        </is>
      </c>
      <c r="C298" s="3" t="inlineStr">
        <is>
          <t xml:space="preserve">OK</t>
        </is>
      </c>
    </row>
    <row r="299">
      <c r="B299" s="1" t="inlineStr">
        <is>
          <t xml:space="preserve">Put "E" into cell A38.</t>
        </is>
      </c>
      <c r="C299" s="3" t="inlineStr">
        <is>
          <t xml:space="preserve">OK</t>
        </is>
      </c>
    </row>
    <row r="300">
      <c r="B300" s="1" t="inlineStr">
        <is>
          <t xml:space="preserve">Put formula "=SUMPRODUCT(--($A$1:$A$163&lt;A38))" into cell B38.</t>
        </is>
      </c>
      <c r="C300" s="3" t="inlineStr">
        <is>
          <t xml:space="preserve">OK</t>
        </is>
      </c>
    </row>
    <row r="301">
      <c r="B301" s="1" t="inlineStr">
        <is>
          <t xml:space="preserve">Put "F" into cell A39.</t>
        </is>
      </c>
      <c r="C301" s="3" t="inlineStr">
        <is>
          <t xml:space="preserve">OK</t>
        </is>
      </c>
    </row>
    <row r="302">
      <c r="B302" s="1" t="inlineStr">
        <is>
          <t xml:space="preserve">Put formula "=SUMPRODUCT(--($A$1:$A$163&lt;A39))" into cell B39.</t>
        </is>
      </c>
      <c r="C302" s="3" t="inlineStr">
        <is>
          <t xml:space="preserve">OK</t>
        </is>
      </c>
    </row>
    <row r="303">
      <c r="B303" s="1" t="inlineStr">
        <is>
          <t xml:space="preserve">Put "G" into cell A40.</t>
        </is>
      </c>
      <c r="C303" s="3" t="inlineStr">
        <is>
          <t xml:space="preserve">OK</t>
        </is>
      </c>
    </row>
    <row r="304">
      <c r="B304" s="1" t="inlineStr">
        <is>
          <t xml:space="preserve">Put formula "=SUMPRODUCT(--($A$1:$A$163&lt;A40))" into cell B40.</t>
        </is>
      </c>
      <c r="C304" s="3" t="inlineStr">
        <is>
          <t xml:space="preserve">OK</t>
        </is>
      </c>
    </row>
    <row r="305">
      <c r="B305" s="1" t="inlineStr">
        <is>
          <t xml:space="preserve">Put "H" into cell A41.</t>
        </is>
      </c>
      <c r="C305" s="3" t="inlineStr">
        <is>
          <t xml:space="preserve">OK</t>
        </is>
      </c>
    </row>
    <row r="306">
      <c r="B306" s="1" t="inlineStr">
        <is>
          <t xml:space="preserve">Put formula "=SUMPRODUCT(--($A$1:$A$163&lt;A41))" into cell B41.</t>
        </is>
      </c>
      <c r="C306" s="3" t="inlineStr">
        <is>
          <t xml:space="preserve">OK</t>
        </is>
      </c>
    </row>
    <row r="307">
      <c r="B307" s="1" t="inlineStr">
        <is>
          <t xml:space="preserve">Put "I" into cell A42.</t>
        </is>
      </c>
      <c r="C307" s="3" t="inlineStr">
        <is>
          <t xml:space="preserve">OK</t>
        </is>
      </c>
    </row>
    <row r="308">
      <c r="B308" s="1" t="inlineStr">
        <is>
          <t xml:space="preserve">Put formula "=SUMPRODUCT(--($A$1:$A$163&lt;A42))" into cell B42.</t>
        </is>
      </c>
      <c r="C308" s="3" t="inlineStr">
        <is>
          <t xml:space="preserve">OK</t>
        </is>
      </c>
    </row>
    <row r="309">
      <c r="B309" s="1" t="inlineStr">
        <is>
          <t xml:space="preserve">Put "J" into cell A43.</t>
        </is>
      </c>
      <c r="C309" s="3" t="inlineStr">
        <is>
          <t xml:space="preserve">OK</t>
        </is>
      </c>
    </row>
    <row r="310">
      <c r="B310" s="1" t="inlineStr">
        <is>
          <t xml:space="preserve">Put formula "=SUMPRODUCT(--($A$1:$A$163&lt;A43))" into cell B43.</t>
        </is>
      </c>
      <c r="C310" s="3" t="inlineStr">
        <is>
          <t xml:space="preserve">OK</t>
        </is>
      </c>
    </row>
    <row r="311">
      <c r="B311" s="1" t="inlineStr">
        <is>
          <t xml:space="preserve">Put "K" into cell A44.</t>
        </is>
      </c>
      <c r="C311" s="3" t="inlineStr">
        <is>
          <t xml:space="preserve">OK</t>
        </is>
      </c>
    </row>
    <row r="312">
      <c r="B312" s="1" t="inlineStr">
        <is>
          <t xml:space="preserve">Put formula "=SUMPRODUCT(--($A$1:$A$163&lt;A44))" into cell B44.</t>
        </is>
      </c>
      <c r="C312" s="3" t="inlineStr">
        <is>
          <t xml:space="preserve">OK</t>
        </is>
      </c>
    </row>
    <row r="313">
      <c r="B313" s="1" t="inlineStr">
        <is>
          <t xml:space="preserve">Put "L" into cell A45.</t>
        </is>
      </c>
      <c r="C313" s="3" t="inlineStr">
        <is>
          <t xml:space="preserve">OK</t>
        </is>
      </c>
    </row>
    <row r="314">
      <c r="B314" s="1" t="inlineStr">
        <is>
          <t xml:space="preserve">Put formula "=SUMPRODUCT(--($A$1:$A$163&lt;A45))" into cell B45.</t>
        </is>
      </c>
      <c r="C314" s="3" t="inlineStr">
        <is>
          <t xml:space="preserve">OK</t>
        </is>
      </c>
    </row>
    <row r="315">
      <c r="B315" s="1" t="inlineStr">
        <is>
          <t xml:space="preserve">Put "M" into cell A46.</t>
        </is>
      </c>
      <c r="C315" s="3" t="inlineStr">
        <is>
          <t xml:space="preserve">OK</t>
        </is>
      </c>
    </row>
    <row r="316">
      <c r="B316" s="1" t="inlineStr">
        <is>
          <t xml:space="preserve">Put formula "=SUMPRODUCT(--($A$1:$A$163&lt;A46))" into cell B46.</t>
        </is>
      </c>
      <c r="C316" s="3" t="inlineStr">
        <is>
          <t xml:space="preserve">OK</t>
        </is>
      </c>
    </row>
    <row r="317">
      <c r="B317" s="1" t="inlineStr">
        <is>
          <t xml:space="preserve">Put "N" into cell A47.</t>
        </is>
      </c>
      <c r="C317" s="3" t="inlineStr">
        <is>
          <t xml:space="preserve">OK</t>
        </is>
      </c>
    </row>
    <row r="318">
      <c r="B318" s="1" t="inlineStr">
        <is>
          <t xml:space="preserve">Put formula "=SUMPRODUCT(--($A$1:$A$163&lt;A47))" into cell B47.</t>
        </is>
      </c>
      <c r="C318" s="3" t="inlineStr">
        <is>
          <t xml:space="preserve">OK</t>
        </is>
      </c>
    </row>
    <row r="319">
      <c r="B319" s="1" t="inlineStr">
        <is>
          <t xml:space="preserve">Put "O" into cell A48.</t>
        </is>
      </c>
      <c r="C319" s="3" t="inlineStr">
        <is>
          <t xml:space="preserve">OK</t>
        </is>
      </c>
    </row>
    <row r="320">
      <c r="B320" s="1" t="inlineStr">
        <is>
          <t xml:space="preserve">Put formula "=SUMPRODUCT(--($A$1:$A$163&lt;A48))" into cell B48.</t>
        </is>
      </c>
      <c r="C320" s="3" t="inlineStr">
        <is>
          <t xml:space="preserve">OK</t>
        </is>
      </c>
    </row>
    <row r="321">
      <c r="B321" s="1" t="inlineStr">
        <is>
          <t xml:space="preserve">Put "P" into cell A49.</t>
        </is>
      </c>
      <c r="C321" s="3" t="inlineStr">
        <is>
          <t xml:space="preserve">OK</t>
        </is>
      </c>
    </row>
    <row r="322">
      <c r="B322" s="1" t="inlineStr">
        <is>
          <t xml:space="preserve">Put formula "=SUMPRODUCT(--($A$1:$A$163&lt;A49))" into cell B49.</t>
        </is>
      </c>
      <c r="C322" s="3" t="inlineStr">
        <is>
          <t xml:space="preserve">OK</t>
        </is>
      </c>
    </row>
    <row r="323">
      <c r="B323" s="1" t="inlineStr">
        <is>
          <t xml:space="preserve">Put "Q" into cell A50.</t>
        </is>
      </c>
      <c r="C323" s="3" t="inlineStr">
        <is>
          <t xml:space="preserve">OK</t>
        </is>
      </c>
    </row>
    <row r="324">
      <c r="B324" s="1" t="inlineStr">
        <is>
          <t xml:space="preserve">Put formula "=SUMPRODUCT(--($A$1:$A$163&lt;A50))" into cell B50.</t>
        </is>
      </c>
      <c r="C324" s="3" t="inlineStr">
        <is>
          <t xml:space="preserve">OK</t>
        </is>
      </c>
    </row>
    <row r="325">
      <c r="B325" s="1" t="inlineStr">
        <is>
          <t xml:space="preserve">Put "R" into cell A51.</t>
        </is>
      </c>
      <c r="C325" s="3" t="inlineStr">
        <is>
          <t xml:space="preserve">OK</t>
        </is>
      </c>
    </row>
    <row r="326">
      <c r="B326" s="1" t="inlineStr">
        <is>
          <t xml:space="preserve">Put formula "=SUMPRODUCT(--($A$1:$A$163&lt;A51))" into cell B51.</t>
        </is>
      </c>
      <c r="C326" s="3" t="inlineStr">
        <is>
          <t xml:space="preserve">OK</t>
        </is>
      </c>
    </row>
    <row r="327">
      <c r="B327" s="1" t="inlineStr">
        <is>
          <t xml:space="preserve">Put "S" into cell A52.</t>
        </is>
      </c>
      <c r="C327" s="3" t="inlineStr">
        <is>
          <t xml:space="preserve">OK</t>
        </is>
      </c>
    </row>
    <row r="328">
      <c r="B328" s="1" t="inlineStr">
        <is>
          <t xml:space="preserve">Put formula "=SUMPRODUCT(--($A$1:$A$163&lt;A52))" into cell B52.</t>
        </is>
      </c>
      <c r="C328" s="3" t="inlineStr">
        <is>
          <t xml:space="preserve">OK</t>
        </is>
      </c>
    </row>
    <row r="329">
      <c r="B329" s="1" t="inlineStr">
        <is>
          <t xml:space="preserve">Put "T" into cell A53.</t>
        </is>
      </c>
      <c r="C329" s="3" t="inlineStr">
        <is>
          <t xml:space="preserve">OK</t>
        </is>
      </c>
    </row>
    <row r="330">
      <c r="B330" s="1" t="inlineStr">
        <is>
          <t xml:space="preserve">Put formula "=SUMPRODUCT(--($A$1:$A$163&lt;A53))" into cell B53.</t>
        </is>
      </c>
      <c r="C330" s="3" t="inlineStr">
        <is>
          <t xml:space="preserve">OK</t>
        </is>
      </c>
    </row>
    <row r="331">
      <c r="B331" s="1" t="inlineStr">
        <is>
          <t xml:space="preserve">Put "U" into cell A54.</t>
        </is>
      </c>
      <c r="C331" s="3" t="inlineStr">
        <is>
          <t xml:space="preserve">OK</t>
        </is>
      </c>
    </row>
    <row r="332">
      <c r="B332" s="1" t="inlineStr">
        <is>
          <t xml:space="preserve">Put formula "=SUMPRODUCT(--($A$1:$A$163&lt;A54))" into cell B54.</t>
        </is>
      </c>
      <c r="C332" s="3" t="inlineStr">
        <is>
          <t xml:space="preserve">OK</t>
        </is>
      </c>
    </row>
    <row r="333">
      <c r="B333" s="1" t="inlineStr">
        <is>
          <t xml:space="preserve">Put "V" into cell A55.</t>
        </is>
      </c>
      <c r="C333" s="3" t="inlineStr">
        <is>
          <t xml:space="preserve">OK</t>
        </is>
      </c>
    </row>
    <row r="334">
      <c r="B334" s="1" t="inlineStr">
        <is>
          <t xml:space="preserve">Put formula "=SUMPRODUCT(--($A$1:$A$163&lt;A55))" into cell B55.</t>
        </is>
      </c>
      <c r="C334" s="3" t="inlineStr">
        <is>
          <t xml:space="preserve">OK</t>
        </is>
      </c>
    </row>
    <row r="335">
      <c r="B335" s="1" t="inlineStr">
        <is>
          <t xml:space="preserve">Put "W" into cell A56.</t>
        </is>
      </c>
      <c r="C335" s="3" t="inlineStr">
        <is>
          <t xml:space="preserve">OK</t>
        </is>
      </c>
    </row>
    <row r="336">
      <c r="B336" s="1" t="inlineStr">
        <is>
          <t xml:space="preserve">Put formula "=SUMPRODUCT(--($A$1:$A$163&lt;A56))" into cell B56.</t>
        </is>
      </c>
      <c r="C336" s="3" t="inlineStr">
        <is>
          <t xml:space="preserve">OK</t>
        </is>
      </c>
    </row>
    <row r="337">
      <c r="B337" s="1" t="inlineStr">
        <is>
          <t xml:space="preserve">Put "X" into cell A57.</t>
        </is>
      </c>
      <c r="C337" s="3" t="inlineStr">
        <is>
          <t xml:space="preserve">OK</t>
        </is>
      </c>
    </row>
    <row r="338">
      <c r="B338" s="1" t="inlineStr">
        <is>
          <t xml:space="preserve">Put formula "=SUMPRODUCT(--($A$1:$A$163&lt;A57))" into cell B57.</t>
        </is>
      </c>
      <c r="C338" s="3" t="inlineStr">
        <is>
          <t xml:space="preserve">OK</t>
        </is>
      </c>
    </row>
    <row r="339">
      <c r="B339" s="1" t="inlineStr">
        <is>
          <t xml:space="preserve">Put "Y" into cell A58.</t>
        </is>
      </c>
      <c r="C339" s="3" t="inlineStr">
        <is>
          <t xml:space="preserve">OK</t>
        </is>
      </c>
    </row>
    <row r="340">
      <c r="B340" s="1" t="inlineStr">
        <is>
          <t xml:space="preserve">Put formula "=SUMPRODUCT(--($A$1:$A$163&lt;A58))" into cell B58.</t>
        </is>
      </c>
      <c r="C340" s="3" t="inlineStr">
        <is>
          <t xml:space="preserve">OK</t>
        </is>
      </c>
    </row>
    <row r="341">
      <c r="B341" s="1" t="inlineStr">
        <is>
          <t xml:space="preserve">Put "Z" into cell A59.</t>
        </is>
      </c>
      <c r="C341" s="3" t="inlineStr">
        <is>
          <t xml:space="preserve">OK</t>
        </is>
      </c>
    </row>
    <row r="342">
      <c r="B342" s="1" t="inlineStr">
        <is>
          <t xml:space="preserve">Put formula "=SUMPRODUCT(--($A$1:$A$163&lt;A59))" into cell B59.</t>
        </is>
      </c>
      <c r="C342" s="3" t="inlineStr">
        <is>
          <t xml:space="preserve">OK</t>
        </is>
      </c>
    </row>
    <row r="343">
      <c r="B343" s="1" t="inlineStr">
        <is>
          <t xml:space="preserve">Put "[" into cell A60.</t>
        </is>
      </c>
      <c r="C343" s="3" t="inlineStr">
        <is>
          <t xml:space="preserve">OK</t>
        </is>
      </c>
    </row>
    <row r="344">
      <c r="B344" s="1" t="inlineStr">
        <is>
          <t xml:space="preserve">Put formula "=SUMPRODUCT(--($A$1:$A$163&lt;A60))" into cell B60.</t>
        </is>
      </c>
      <c r="C344" s="3" t="inlineStr">
        <is>
          <t xml:space="preserve">OK</t>
        </is>
      </c>
    </row>
    <row r="345">
      <c r="B345" s="1" t="inlineStr">
        <is>
          <t xml:space="preserve">Put "\" into cell A61.</t>
        </is>
      </c>
      <c r="C345" s="3" t="inlineStr">
        <is>
          <t xml:space="preserve">OK</t>
        </is>
      </c>
    </row>
    <row r="346">
      <c r="B346" s="1" t="inlineStr">
        <is>
          <t xml:space="preserve">Put formula "=SUMPRODUCT(--($A$1:$A$163&lt;A61))" into cell B61.</t>
        </is>
      </c>
      <c r="C346" s="3" t="inlineStr">
        <is>
          <t xml:space="preserve">OK</t>
        </is>
      </c>
    </row>
    <row r="347">
      <c r="B347" s="1" t="inlineStr">
        <is>
          <t xml:space="preserve">Put "]" into cell A62.</t>
        </is>
      </c>
      <c r="C347" s="3" t="inlineStr">
        <is>
          <t xml:space="preserve">OK</t>
        </is>
      </c>
    </row>
    <row r="348">
      <c r="B348" s="1" t="inlineStr">
        <is>
          <t xml:space="preserve">Put formula "=SUMPRODUCT(--($A$1:$A$163&lt;A62))" into cell B62.</t>
        </is>
      </c>
      <c r="C348" s="3" t="inlineStr">
        <is>
          <t xml:space="preserve">OK</t>
        </is>
      </c>
    </row>
    <row r="349">
      <c r="B349" s="1" t="inlineStr">
        <is>
          <t xml:space="preserve">Put "^" into cell A63.</t>
        </is>
      </c>
      <c r="C349" s="3" t="inlineStr">
        <is>
          <t xml:space="preserve">OK</t>
        </is>
      </c>
    </row>
    <row r="350">
      <c r="B350" s="1" t="inlineStr">
        <is>
          <t xml:space="preserve">Put formula "=SUMPRODUCT(--($A$1:$A$163&lt;A63))" into cell B63.</t>
        </is>
      </c>
      <c r="C350" s="3" t="inlineStr">
        <is>
          <t xml:space="preserve">OK</t>
        </is>
      </c>
    </row>
    <row r="351">
      <c r="B351" s="1" t="inlineStr">
        <is>
          <t xml:space="preserve">Put "_" into cell A64.</t>
        </is>
      </c>
      <c r="C351" s="3" t="inlineStr">
        <is>
          <t xml:space="preserve">OK</t>
        </is>
      </c>
    </row>
    <row r="352">
      <c r="B352" s="1" t="inlineStr">
        <is>
          <t xml:space="preserve">Put formula "=SUMPRODUCT(--($A$1:$A$163&lt;A64))" into cell B64.</t>
        </is>
      </c>
      <c r="C352" s="3" t="inlineStr">
        <is>
          <t xml:space="preserve">OK</t>
        </is>
      </c>
    </row>
    <row r="353">
      <c r="B353" s="1" t="inlineStr">
        <is>
          <t xml:space="preserve">Put "`" into cell A65.</t>
        </is>
      </c>
      <c r="C353" s="3" t="inlineStr">
        <is>
          <t xml:space="preserve">OK</t>
        </is>
      </c>
    </row>
    <row r="354">
      <c r="B354" s="1" t="inlineStr">
        <is>
          <t xml:space="preserve">Put formula "=SUMPRODUCT(--($A$1:$A$163&lt;A65))" into cell B65.</t>
        </is>
      </c>
      <c r="C354" s="3" t="inlineStr">
        <is>
          <t xml:space="preserve">OK</t>
        </is>
      </c>
    </row>
    <row r="355">
      <c r="B355" s="1" t="inlineStr">
        <is>
          <t xml:space="preserve">Put "a" into cell A66.</t>
        </is>
      </c>
      <c r="C355" s="3" t="inlineStr">
        <is>
          <t xml:space="preserve">OK</t>
        </is>
      </c>
    </row>
    <row r="356">
      <c r="B356" s="1" t="inlineStr">
        <is>
          <t xml:space="preserve">Put formula "=SUMPRODUCT(--($A$1:$A$163&lt;A66))" into cell B66.</t>
        </is>
      </c>
      <c r="C356" s="3" t="inlineStr">
        <is>
          <t xml:space="preserve">OK</t>
        </is>
      </c>
    </row>
    <row r="357">
      <c r="B357" s="1" t="inlineStr">
        <is>
          <t xml:space="preserve">Put "b" into cell A67.</t>
        </is>
      </c>
      <c r="C357" s="3" t="inlineStr">
        <is>
          <t xml:space="preserve">OK</t>
        </is>
      </c>
    </row>
    <row r="358">
      <c r="B358" s="1" t="inlineStr">
        <is>
          <t xml:space="preserve">Put formula "=SUMPRODUCT(--($A$1:$A$163&lt;A67))" into cell B67.</t>
        </is>
      </c>
      <c r="C358" s="3" t="inlineStr">
        <is>
          <t xml:space="preserve">OK</t>
        </is>
      </c>
    </row>
    <row r="359">
      <c r="B359" s="1" t="inlineStr">
        <is>
          <t xml:space="preserve">Put "c" into cell A68.</t>
        </is>
      </c>
      <c r="C359" s="3" t="inlineStr">
        <is>
          <t xml:space="preserve">OK</t>
        </is>
      </c>
    </row>
    <row r="360">
      <c r="B360" s="1" t="inlineStr">
        <is>
          <t xml:space="preserve">Put formula "=SUMPRODUCT(--($A$1:$A$163&lt;A68))" into cell B68.</t>
        </is>
      </c>
      <c r="C360" s="3" t="inlineStr">
        <is>
          <t xml:space="preserve">OK</t>
        </is>
      </c>
    </row>
    <row r="361">
      <c r="B361" s="1" t="inlineStr">
        <is>
          <t xml:space="preserve">Put "d" into cell A69.</t>
        </is>
      </c>
      <c r="C361" s="3" t="inlineStr">
        <is>
          <t xml:space="preserve">OK</t>
        </is>
      </c>
    </row>
    <row r="362">
      <c r="B362" s="1" t="inlineStr">
        <is>
          <t xml:space="preserve">Put formula "=SUMPRODUCT(--($A$1:$A$163&lt;A69))" into cell B69.</t>
        </is>
      </c>
      <c r="C362" s="3" t="inlineStr">
        <is>
          <t xml:space="preserve">OK</t>
        </is>
      </c>
    </row>
    <row r="363">
      <c r="B363" s="1" t="inlineStr">
        <is>
          <t xml:space="preserve">Put "e" into cell A70.</t>
        </is>
      </c>
      <c r="C363" s="3" t="inlineStr">
        <is>
          <t xml:space="preserve">OK</t>
        </is>
      </c>
    </row>
    <row r="364">
      <c r="B364" s="1" t="inlineStr">
        <is>
          <t xml:space="preserve">Put formula "=SUMPRODUCT(--($A$1:$A$163&lt;A70))" into cell B70.</t>
        </is>
      </c>
      <c r="C364" s="3" t="inlineStr">
        <is>
          <t xml:space="preserve">OK</t>
        </is>
      </c>
    </row>
    <row r="365">
      <c r="B365" s="1" t="inlineStr">
        <is>
          <t xml:space="preserve">Put "f" into cell A71.</t>
        </is>
      </c>
      <c r="C365" s="3" t="inlineStr">
        <is>
          <t xml:space="preserve">OK</t>
        </is>
      </c>
    </row>
    <row r="366">
      <c r="B366" s="1" t="inlineStr">
        <is>
          <t xml:space="preserve">Put formula "=SUMPRODUCT(--($A$1:$A$163&lt;A71))" into cell B71.</t>
        </is>
      </c>
      <c r="C366" s="3" t="inlineStr">
        <is>
          <t xml:space="preserve">OK</t>
        </is>
      </c>
    </row>
    <row r="367">
      <c r="B367" s="1" t="inlineStr">
        <is>
          <t xml:space="preserve">Put "g" into cell A72.</t>
        </is>
      </c>
      <c r="C367" s="3" t="inlineStr">
        <is>
          <t xml:space="preserve">OK</t>
        </is>
      </c>
    </row>
    <row r="368">
      <c r="B368" s="1" t="inlineStr">
        <is>
          <t xml:space="preserve">Put formula "=SUMPRODUCT(--($A$1:$A$163&lt;A72))" into cell B72.</t>
        </is>
      </c>
      <c r="C368" s="3" t="inlineStr">
        <is>
          <t xml:space="preserve">OK</t>
        </is>
      </c>
    </row>
    <row r="369">
      <c r="B369" s="1" t="inlineStr">
        <is>
          <t xml:space="preserve">Put "h" into cell A73.</t>
        </is>
      </c>
      <c r="C369" s="3" t="inlineStr">
        <is>
          <t xml:space="preserve">OK</t>
        </is>
      </c>
    </row>
    <row r="370">
      <c r="B370" s="1" t="inlineStr">
        <is>
          <t xml:space="preserve">Put formula "=SUMPRODUCT(--($A$1:$A$163&lt;A73))" into cell B73.</t>
        </is>
      </c>
      <c r="C370" s="3" t="inlineStr">
        <is>
          <t xml:space="preserve">OK</t>
        </is>
      </c>
    </row>
    <row r="371">
      <c r="B371" s="1" t="inlineStr">
        <is>
          <t xml:space="preserve">Put "i" into cell A74.</t>
        </is>
      </c>
      <c r="C371" s="3" t="inlineStr">
        <is>
          <t xml:space="preserve">OK</t>
        </is>
      </c>
    </row>
    <row r="372">
      <c r="B372" s="1" t="inlineStr">
        <is>
          <t xml:space="preserve">Put formula "=SUMPRODUCT(--($A$1:$A$163&lt;A74))" into cell B74.</t>
        </is>
      </c>
      <c r="C372" s="3" t="inlineStr">
        <is>
          <t xml:space="preserve">OK</t>
        </is>
      </c>
    </row>
    <row r="373">
      <c r="B373" s="1" t="inlineStr">
        <is>
          <t xml:space="preserve">Put "j" into cell A75.</t>
        </is>
      </c>
      <c r="C373" s="3" t="inlineStr">
        <is>
          <t xml:space="preserve">OK</t>
        </is>
      </c>
    </row>
    <row r="374">
      <c r="B374" s="1" t="inlineStr">
        <is>
          <t xml:space="preserve">Put formula "=SUMPRODUCT(--($A$1:$A$163&lt;A75))" into cell B75.</t>
        </is>
      </c>
      <c r="C374" s="3" t="inlineStr">
        <is>
          <t xml:space="preserve">OK</t>
        </is>
      </c>
    </row>
    <row r="375">
      <c r="B375" s="1" t="inlineStr">
        <is>
          <t xml:space="preserve">Put "k" into cell A76.</t>
        </is>
      </c>
      <c r="C375" s="3" t="inlineStr">
        <is>
          <t xml:space="preserve">OK</t>
        </is>
      </c>
    </row>
    <row r="376">
      <c r="B376" s="1" t="inlineStr">
        <is>
          <t xml:space="preserve">Put formula "=SUMPRODUCT(--($A$1:$A$163&lt;A76))" into cell B76.</t>
        </is>
      </c>
      <c r="C376" s="3" t="inlineStr">
        <is>
          <t xml:space="preserve">OK</t>
        </is>
      </c>
    </row>
    <row r="377">
      <c r="B377" s="1" t="inlineStr">
        <is>
          <t xml:space="preserve">Put "l" into cell A77.</t>
        </is>
      </c>
      <c r="C377" s="3" t="inlineStr">
        <is>
          <t xml:space="preserve">OK</t>
        </is>
      </c>
    </row>
    <row r="378">
      <c r="B378" s="1" t="inlineStr">
        <is>
          <t xml:space="preserve">Put formula "=SUMPRODUCT(--($A$1:$A$163&lt;A77))" into cell B77.</t>
        </is>
      </c>
      <c r="C378" s="3" t="inlineStr">
        <is>
          <t xml:space="preserve">OK</t>
        </is>
      </c>
    </row>
    <row r="379">
      <c r="B379" s="1" t="inlineStr">
        <is>
          <t xml:space="preserve">Put "m" into cell A78.</t>
        </is>
      </c>
      <c r="C379" s="3" t="inlineStr">
        <is>
          <t xml:space="preserve">OK</t>
        </is>
      </c>
    </row>
    <row r="380">
      <c r="B380" s="1" t="inlineStr">
        <is>
          <t xml:space="preserve">Put formula "=SUMPRODUCT(--($A$1:$A$163&lt;A78))" into cell B78.</t>
        </is>
      </c>
      <c r="C380" s="3" t="inlineStr">
        <is>
          <t xml:space="preserve">OK</t>
        </is>
      </c>
    </row>
    <row r="381">
      <c r="B381" s="1" t="inlineStr">
        <is>
          <t xml:space="preserve">Put "n" into cell A79.</t>
        </is>
      </c>
      <c r="C381" s="3" t="inlineStr">
        <is>
          <t xml:space="preserve">OK</t>
        </is>
      </c>
    </row>
    <row r="382">
      <c r="B382" s="1" t="inlineStr">
        <is>
          <t xml:space="preserve">Put formula "=SUMPRODUCT(--($A$1:$A$163&lt;A79))" into cell B79.</t>
        </is>
      </c>
      <c r="C382" s="3" t="inlineStr">
        <is>
          <t xml:space="preserve">OK</t>
        </is>
      </c>
    </row>
    <row r="383">
      <c r="B383" s="1" t="inlineStr">
        <is>
          <t xml:space="preserve">Put "o" into cell A80.</t>
        </is>
      </c>
      <c r="C383" s="3" t="inlineStr">
        <is>
          <t xml:space="preserve">OK</t>
        </is>
      </c>
    </row>
    <row r="384">
      <c r="B384" s="1" t="inlineStr">
        <is>
          <t xml:space="preserve">Put formula "=SUMPRODUCT(--($A$1:$A$163&lt;A80))" into cell B80.</t>
        </is>
      </c>
      <c r="C384" s="3" t="inlineStr">
        <is>
          <t xml:space="preserve">OK</t>
        </is>
      </c>
    </row>
    <row r="385">
      <c r="B385" s="1" t="inlineStr">
        <is>
          <t xml:space="preserve">Put "p" into cell A81.</t>
        </is>
      </c>
      <c r="C385" s="3" t="inlineStr">
        <is>
          <t xml:space="preserve">OK</t>
        </is>
      </c>
    </row>
    <row r="386">
      <c r="B386" s="1" t="inlineStr">
        <is>
          <t xml:space="preserve">Put formula "=SUMPRODUCT(--($A$1:$A$163&lt;A81))" into cell B81.</t>
        </is>
      </c>
      <c r="C386" s="3" t="inlineStr">
        <is>
          <t xml:space="preserve">OK</t>
        </is>
      </c>
    </row>
    <row r="387">
      <c r="B387" s="1" t="inlineStr">
        <is>
          <t xml:space="preserve">Put "q" into cell A82.</t>
        </is>
      </c>
      <c r="C387" s="3" t="inlineStr">
        <is>
          <t xml:space="preserve">OK</t>
        </is>
      </c>
    </row>
    <row r="388">
      <c r="B388" s="1" t="inlineStr">
        <is>
          <t xml:space="preserve">Put formula "=SUMPRODUCT(--($A$1:$A$163&lt;A82))" into cell B82.</t>
        </is>
      </c>
      <c r="C388" s="3" t="inlineStr">
        <is>
          <t xml:space="preserve">OK</t>
        </is>
      </c>
    </row>
    <row r="389">
      <c r="B389" s="1" t="inlineStr">
        <is>
          <t xml:space="preserve">Put "r" into cell A83.</t>
        </is>
      </c>
      <c r="C389" s="3" t="inlineStr">
        <is>
          <t xml:space="preserve">OK</t>
        </is>
      </c>
    </row>
    <row r="390">
      <c r="B390" s="1" t="inlineStr">
        <is>
          <t xml:space="preserve">Put formula "=SUMPRODUCT(--($A$1:$A$163&lt;A83))" into cell B83.</t>
        </is>
      </c>
      <c r="C390" s="3" t="inlineStr">
        <is>
          <t xml:space="preserve">OK</t>
        </is>
      </c>
    </row>
    <row r="391">
      <c r="B391" s="1" t="inlineStr">
        <is>
          <t xml:space="preserve">Put "s" into cell A84.</t>
        </is>
      </c>
      <c r="C391" s="3" t="inlineStr">
        <is>
          <t xml:space="preserve">OK</t>
        </is>
      </c>
    </row>
    <row r="392">
      <c r="B392" s="1" t="inlineStr">
        <is>
          <t xml:space="preserve">Put formula "=SUMPRODUCT(--($A$1:$A$163&lt;A84))" into cell B84.</t>
        </is>
      </c>
      <c r="C392" s="3" t="inlineStr">
        <is>
          <t xml:space="preserve">OK</t>
        </is>
      </c>
    </row>
    <row r="393">
      <c r="B393" s="1" t="inlineStr">
        <is>
          <t xml:space="preserve">Put "t" into cell A85.</t>
        </is>
      </c>
      <c r="C393" s="3" t="inlineStr">
        <is>
          <t xml:space="preserve">OK</t>
        </is>
      </c>
    </row>
    <row r="394">
      <c r="B394" s="1" t="inlineStr">
        <is>
          <t xml:space="preserve">Put formula "=SUMPRODUCT(--($A$1:$A$163&lt;A85))" into cell B85.</t>
        </is>
      </c>
      <c r="C394" s="3" t="inlineStr">
        <is>
          <t xml:space="preserve">OK</t>
        </is>
      </c>
    </row>
    <row r="395">
      <c r="B395" s="1" t="inlineStr">
        <is>
          <t xml:space="preserve">Put "u" into cell A86.</t>
        </is>
      </c>
      <c r="C395" s="3" t="inlineStr">
        <is>
          <t xml:space="preserve">OK</t>
        </is>
      </c>
    </row>
    <row r="396">
      <c r="B396" s="1" t="inlineStr">
        <is>
          <t xml:space="preserve">Put formula "=SUMPRODUCT(--($A$1:$A$163&lt;A86))" into cell B86.</t>
        </is>
      </c>
      <c r="C396" s="3" t="inlineStr">
        <is>
          <t xml:space="preserve">OK</t>
        </is>
      </c>
    </row>
    <row r="397">
      <c r="B397" s="1" t="inlineStr">
        <is>
          <t xml:space="preserve">Put "v" into cell A87.</t>
        </is>
      </c>
      <c r="C397" s="3" t="inlineStr">
        <is>
          <t xml:space="preserve">OK</t>
        </is>
      </c>
    </row>
    <row r="398">
      <c r="B398" s="1" t="inlineStr">
        <is>
          <t xml:space="preserve">Put formula "=SUMPRODUCT(--($A$1:$A$163&lt;A87))" into cell B87.</t>
        </is>
      </c>
      <c r="C398" s="3" t="inlineStr">
        <is>
          <t xml:space="preserve">OK</t>
        </is>
      </c>
    </row>
    <row r="399">
      <c r="B399" s="1" t="inlineStr">
        <is>
          <t xml:space="preserve">Put "w" into cell A88.</t>
        </is>
      </c>
      <c r="C399" s="3" t="inlineStr">
        <is>
          <t xml:space="preserve">OK</t>
        </is>
      </c>
    </row>
    <row r="400">
      <c r="B400" s="1" t="inlineStr">
        <is>
          <t xml:space="preserve">Put formula "=SUMPRODUCT(--($A$1:$A$163&lt;A88))" into cell B88.</t>
        </is>
      </c>
      <c r="C400" s="3" t="inlineStr">
        <is>
          <t xml:space="preserve">OK</t>
        </is>
      </c>
    </row>
    <row r="401">
      <c r="B401" s="1" t="inlineStr">
        <is>
          <t xml:space="preserve">Put "x" into cell A89.</t>
        </is>
      </c>
      <c r="C401" s="3" t="inlineStr">
        <is>
          <t xml:space="preserve">OK</t>
        </is>
      </c>
    </row>
    <row r="402">
      <c r="B402" s="1" t="inlineStr">
        <is>
          <t xml:space="preserve">Put formula "=SUMPRODUCT(--($A$1:$A$163&lt;A89))" into cell B89.</t>
        </is>
      </c>
      <c r="C402" s="3" t="inlineStr">
        <is>
          <t xml:space="preserve">OK</t>
        </is>
      </c>
    </row>
    <row r="403">
      <c r="B403" s="1" t="inlineStr">
        <is>
          <t xml:space="preserve">Put "y" into cell A90.</t>
        </is>
      </c>
      <c r="C403" s="3" t="inlineStr">
        <is>
          <t xml:space="preserve">OK</t>
        </is>
      </c>
    </row>
    <row r="404">
      <c r="B404" s="1" t="inlineStr">
        <is>
          <t xml:space="preserve">Put formula "=SUMPRODUCT(--($A$1:$A$163&lt;A90))" into cell B90.</t>
        </is>
      </c>
      <c r="C404" s="3" t="inlineStr">
        <is>
          <t xml:space="preserve">OK</t>
        </is>
      </c>
    </row>
    <row r="405">
      <c r="B405" s="1" t="inlineStr">
        <is>
          <t xml:space="preserve">Put "z" into cell A91.</t>
        </is>
      </c>
      <c r="C405" s="3" t="inlineStr">
        <is>
          <t xml:space="preserve">OK</t>
        </is>
      </c>
    </row>
    <row r="406">
      <c r="B406" s="1" t="inlineStr">
        <is>
          <t xml:space="preserve">Put formula "=SUMPRODUCT(--($A$1:$A$163&lt;A91))" into cell B91.</t>
        </is>
      </c>
      <c r="C406" s="3" t="inlineStr">
        <is>
          <t xml:space="preserve">OK</t>
        </is>
      </c>
    </row>
    <row r="407">
      <c r="B407" s="1" t="inlineStr">
        <is>
          <t xml:space="preserve">Put "{" into cell A92.</t>
        </is>
      </c>
      <c r="C407" s="3" t="inlineStr">
        <is>
          <t xml:space="preserve">OK</t>
        </is>
      </c>
    </row>
    <row r="408">
      <c r="B408" s="1" t="inlineStr">
        <is>
          <t xml:space="preserve">Put formula "=SUMPRODUCT(--($A$1:$A$163&lt;A92))" into cell B92.</t>
        </is>
      </c>
      <c r="C408" s="3" t="inlineStr">
        <is>
          <t xml:space="preserve">OK</t>
        </is>
      </c>
    </row>
    <row r="409">
      <c r="B409" s="1" t="inlineStr">
        <is>
          <t xml:space="preserve">Put "|" into cell A93.</t>
        </is>
      </c>
      <c r="C409" s="3" t="inlineStr">
        <is>
          <t xml:space="preserve">OK</t>
        </is>
      </c>
    </row>
    <row r="410">
      <c r="B410" s="1" t="inlineStr">
        <is>
          <t xml:space="preserve">Put formula "=SUMPRODUCT(--($A$1:$A$163&lt;A93))" into cell B93.</t>
        </is>
      </c>
      <c r="C410" s="3" t="inlineStr">
        <is>
          <t xml:space="preserve">OK</t>
        </is>
      </c>
    </row>
    <row r="411">
      <c r="B411" s="1" t="inlineStr">
        <is>
          <t xml:space="preserve">Put "}" into cell A94.</t>
        </is>
      </c>
      <c r="C411" s="3" t="inlineStr">
        <is>
          <t xml:space="preserve">OK</t>
        </is>
      </c>
    </row>
    <row r="412">
      <c r="B412" s="1" t="inlineStr">
        <is>
          <t xml:space="preserve">Put formula "=SUMPRODUCT(--($A$1:$A$163&lt;A94))" into cell B94.</t>
        </is>
      </c>
      <c r="C412" s="3" t="inlineStr">
        <is>
          <t xml:space="preserve">OK</t>
        </is>
      </c>
    </row>
    <row r="413">
      <c r="B413" s="1" t="inlineStr">
        <is>
          <t xml:space="preserve">Put "~" into cell A95.</t>
        </is>
      </c>
      <c r="C413" s="3" t="inlineStr">
        <is>
          <t xml:space="preserve">OK</t>
        </is>
      </c>
    </row>
    <row r="414">
      <c r="B414" s="1" t="inlineStr">
        <is>
          <t xml:space="preserve">Put formula "=SUMPRODUCT(--($A$1:$A$163&lt;A95))" into cell B95.</t>
        </is>
      </c>
      <c r="C414" s="3" t="inlineStr">
        <is>
          <t xml:space="preserve">OK</t>
        </is>
      </c>
    </row>
    <row r="415">
      <c r="B415" s="1" t="inlineStr">
        <is>
          <t xml:space="preserve">Put "é" into cell A96.</t>
        </is>
      </c>
      <c r="C415" s="3" t="inlineStr">
        <is>
          <t xml:space="preserve">OK</t>
        </is>
      </c>
    </row>
    <row r="416">
      <c r="B416" s="1" t="inlineStr">
        <is>
          <t xml:space="preserve">Put formula "=SUMPRODUCT(--($A$1:$A$163&lt;A96))" into cell B96.</t>
        </is>
      </c>
      <c r="C416" s="3" t="inlineStr">
        <is>
          <t xml:space="preserve">OK</t>
        </is>
      </c>
    </row>
    <row r="417">
      <c r="B417" s="1" t="inlineStr">
        <is>
          <t xml:space="preserve">Put "è" into cell A97.</t>
        </is>
      </c>
      <c r="C417" s="3" t="inlineStr">
        <is>
          <t xml:space="preserve">OK</t>
        </is>
      </c>
    </row>
    <row r="418">
      <c r="B418" s="1" t="inlineStr">
        <is>
          <t xml:space="preserve">Put formula "=SUMPRODUCT(--($A$1:$A$163&lt;A97))" into cell B97.</t>
        </is>
      </c>
      <c r="C418" s="3" t="inlineStr">
        <is>
          <t xml:space="preserve">OK</t>
        </is>
      </c>
    </row>
    <row r="419">
      <c r="B419" s="1" t="inlineStr">
        <is>
          <t xml:space="preserve">Put "ê" into cell A98.</t>
        </is>
      </c>
      <c r="C419" s="3" t="inlineStr">
        <is>
          <t xml:space="preserve">OK</t>
        </is>
      </c>
    </row>
    <row r="420">
      <c r="B420" s="1" t="inlineStr">
        <is>
          <t xml:space="preserve">Put formula "=SUMPRODUCT(--($A$1:$A$163&lt;A98))" into cell B98.</t>
        </is>
      </c>
      <c r="C420" s="3" t="inlineStr">
        <is>
          <t xml:space="preserve">OK</t>
        </is>
      </c>
    </row>
    <row r="421">
      <c r="B421" s="1" t="inlineStr">
        <is>
          <t xml:space="preserve">Put "ë" into cell A99.</t>
        </is>
      </c>
      <c r="C421" s="3" t="inlineStr">
        <is>
          <t xml:space="preserve">OK</t>
        </is>
      </c>
    </row>
    <row r="422">
      <c r="B422" s="1" t="inlineStr">
        <is>
          <t xml:space="preserve">Put formula "=SUMPRODUCT(--($A$1:$A$163&lt;A99))" into cell B99.</t>
        </is>
      </c>
      <c r="C422" s="3" t="inlineStr">
        <is>
          <t xml:space="preserve">OK</t>
        </is>
      </c>
    </row>
    <row r="423">
      <c r="B423" s="1" t="inlineStr">
        <is>
          <t xml:space="preserve">Put "à" into cell A100.</t>
        </is>
      </c>
      <c r="C423" s="3" t="inlineStr">
        <is>
          <t xml:space="preserve">OK</t>
        </is>
      </c>
    </row>
    <row r="424">
      <c r="B424" s="1" t="inlineStr">
        <is>
          <t xml:space="preserve">Put formula "=SUMPRODUCT(--($A$1:$A$163&lt;A100))" into cell B100.</t>
        </is>
      </c>
      <c r="C424" s="3" t="inlineStr">
        <is>
          <t xml:space="preserve">OK</t>
        </is>
      </c>
    </row>
    <row r="425">
      <c r="B425" s="1" t="inlineStr">
        <is>
          <t xml:space="preserve">Put "â" into cell A101.</t>
        </is>
      </c>
      <c r="C425" s="3" t="inlineStr">
        <is>
          <t xml:space="preserve">OK</t>
        </is>
      </c>
    </row>
    <row r="426">
      <c r="B426" s="1" t="inlineStr">
        <is>
          <t xml:space="preserve">Put formula "=SUMPRODUCT(--($A$1:$A$163&lt;A101))" into cell B101.</t>
        </is>
      </c>
      <c r="C426" s="3" t="inlineStr">
        <is>
          <t xml:space="preserve">OK</t>
        </is>
      </c>
    </row>
    <row r="427">
      <c r="B427" s="1" t="inlineStr">
        <is>
          <t xml:space="preserve">Put "ä" into cell A102.</t>
        </is>
      </c>
      <c r="C427" s="3" t="inlineStr">
        <is>
          <t xml:space="preserve">OK</t>
        </is>
      </c>
    </row>
    <row r="428">
      <c r="B428" s="1" t="inlineStr">
        <is>
          <t xml:space="preserve">Put formula "=SUMPRODUCT(--($A$1:$A$163&lt;A102))" into cell B102.</t>
        </is>
      </c>
      <c r="C428" s="3" t="inlineStr">
        <is>
          <t xml:space="preserve">OK</t>
        </is>
      </c>
    </row>
    <row r="429">
      <c r="B429" s="1" t="inlineStr">
        <is>
          <t xml:space="preserve">Put "å" into cell A103.</t>
        </is>
      </c>
      <c r="C429" s="3" t="inlineStr">
        <is>
          <t xml:space="preserve">OK</t>
        </is>
      </c>
    </row>
    <row r="430">
      <c r="B430" s="1" t="inlineStr">
        <is>
          <t xml:space="preserve">Put formula "=SUMPRODUCT(--($A$1:$A$163&lt;A103))" into cell B103.</t>
        </is>
      </c>
      <c r="C430" s="3" t="inlineStr">
        <is>
          <t xml:space="preserve">OK</t>
        </is>
      </c>
    </row>
    <row r="431">
      <c r="B431" s="1" t="inlineStr">
        <is>
          <t xml:space="preserve">Put "á" into cell A104.</t>
        </is>
      </c>
      <c r="C431" s="3" t="inlineStr">
        <is>
          <t xml:space="preserve">OK</t>
        </is>
      </c>
    </row>
    <row r="432">
      <c r="B432" s="1" t="inlineStr">
        <is>
          <t xml:space="preserve">Put formula "=SUMPRODUCT(--($A$1:$A$163&lt;A104))" into cell B104.</t>
        </is>
      </c>
      <c r="C432" s="3" t="inlineStr">
        <is>
          <t xml:space="preserve">OK</t>
        </is>
      </c>
    </row>
    <row r="433">
      <c r="B433" s="1" t="inlineStr">
        <is>
          <t xml:space="preserve">Put "ñ" into cell A105.</t>
        </is>
      </c>
      <c r="C433" s="3" t="inlineStr">
        <is>
          <t xml:space="preserve">OK</t>
        </is>
      </c>
    </row>
    <row r="434">
      <c r="B434" s="1" t="inlineStr">
        <is>
          <t xml:space="preserve">Put formula "=SUMPRODUCT(--($A$1:$A$163&lt;A105))" into cell B105.</t>
        </is>
      </c>
      <c r="C434" s="3" t="inlineStr">
        <is>
          <t xml:space="preserve">OK</t>
        </is>
      </c>
    </row>
    <row r="435">
      <c r="B435" s="1" t="inlineStr">
        <is>
          <t xml:space="preserve">Put "ç" into cell A106.</t>
        </is>
      </c>
      <c r="C435" s="3" t="inlineStr">
        <is>
          <t xml:space="preserve">OK</t>
        </is>
      </c>
    </row>
    <row r="436">
      <c r="B436" s="1" t="inlineStr">
        <is>
          <t xml:space="preserve">Put formula "=SUMPRODUCT(--($A$1:$A$163&lt;A106))" into cell B106.</t>
        </is>
      </c>
      <c r="C436" s="3" t="inlineStr">
        <is>
          <t xml:space="preserve">OK</t>
        </is>
      </c>
    </row>
    <row r="437">
      <c r="B437" s="1" t="inlineStr">
        <is>
          <t xml:space="preserve">Put "ö" into cell A107.</t>
        </is>
      </c>
      <c r="C437" s="3" t="inlineStr">
        <is>
          <t xml:space="preserve">OK</t>
        </is>
      </c>
    </row>
    <row r="438">
      <c r="B438" s="1" t="inlineStr">
        <is>
          <t xml:space="preserve">Put formula "=SUMPRODUCT(--($A$1:$A$163&lt;A107))" into cell B107.</t>
        </is>
      </c>
      <c r="C438" s="3" t="inlineStr">
        <is>
          <t xml:space="preserve">OK</t>
        </is>
      </c>
    </row>
    <row r="439">
      <c r="B439" s="1" t="inlineStr">
        <is>
          <t xml:space="preserve">Put "ô" into cell A108.</t>
        </is>
      </c>
      <c r="C439" s="3" t="inlineStr">
        <is>
          <t xml:space="preserve">OK</t>
        </is>
      </c>
    </row>
    <row r="440">
      <c r="B440" s="1" t="inlineStr">
        <is>
          <t xml:space="preserve">Put formula "=SUMPRODUCT(--($A$1:$A$163&lt;A108))" into cell B108.</t>
        </is>
      </c>
      <c r="C440" s="3" t="inlineStr">
        <is>
          <t xml:space="preserve">OK</t>
        </is>
      </c>
    </row>
    <row r="441">
      <c r="B441" s="1" t="inlineStr">
        <is>
          <t xml:space="preserve">Put "ò" into cell A109.</t>
        </is>
      </c>
      <c r="C441" s="3" t="inlineStr">
        <is>
          <t xml:space="preserve">OK</t>
        </is>
      </c>
    </row>
    <row r="442">
      <c r="B442" s="1" t="inlineStr">
        <is>
          <t xml:space="preserve">Put formula "=SUMPRODUCT(--($A$1:$A$163&lt;A109))" into cell B109.</t>
        </is>
      </c>
      <c r="C442" s="3" t="inlineStr">
        <is>
          <t xml:space="preserve">OK</t>
        </is>
      </c>
    </row>
    <row r="443">
      <c r="B443" s="1" t="inlineStr">
        <is>
          <t xml:space="preserve">Put "ø" into cell A110.</t>
        </is>
      </c>
      <c r="C443" s="3" t="inlineStr">
        <is>
          <t xml:space="preserve">OK</t>
        </is>
      </c>
    </row>
    <row r="444">
      <c r="B444" s="1" t="inlineStr">
        <is>
          <t xml:space="preserve">Put formula "=SUMPRODUCT(--($A$1:$A$163&lt;A110))" into cell B110.</t>
        </is>
      </c>
      <c r="C444" s="3" t="inlineStr">
        <is>
          <t xml:space="preserve">OK</t>
        </is>
      </c>
    </row>
    <row r="445">
      <c r="B445" s="1" t="inlineStr">
        <is>
          <t xml:space="preserve">Put "ü" into cell A111.</t>
        </is>
      </c>
      <c r="C445" s="3" t="inlineStr">
        <is>
          <t xml:space="preserve">OK</t>
        </is>
      </c>
    </row>
    <row r="446">
      <c r="B446" s="1" t="inlineStr">
        <is>
          <t xml:space="preserve">Put formula "=SUMPRODUCT(--($A$1:$A$163&lt;A111))" into cell B111.</t>
        </is>
      </c>
      <c r="C446" s="3" t="inlineStr">
        <is>
          <t xml:space="preserve">OK</t>
        </is>
      </c>
    </row>
    <row r="447">
      <c r="B447" s="1" t="inlineStr">
        <is>
          <t xml:space="preserve">Put "û" into cell A112.</t>
        </is>
      </c>
      <c r="C447" s="3" t="inlineStr">
        <is>
          <t xml:space="preserve">OK</t>
        </is>
      </c>
    </row>
    <row r="448">
      <c r="B448" s="1" t="inlineStr">
        <is>
          <t xml:space="preserve">Put formula "=SUMPRODUCT(--($A$1:$A$163&lt;A112))" into cell B112.</t>
        </is>
      </c>
      <c r="C448" s="3" t="inlineStr">
        <is>
          <t xml:space="preserve">OK</t>
        </is>
      </c>
    </row>
    <row r="449">
      <c r="B449" s="1" t="inlineStr">
        <is>
          <t xml:space="preserve">Put "ù" into cell A113.</t>
        </is>
      </c>
      <c r="C449" s="3" t="inlineStr">
        <is>
          <t xml:space="preserve">OK</t>
        </is>
      </c>
    </row>
    <row r="450">
      <c r="B450" s="1" t="inlineStr">
        <is>
          <t xml:space="preserve">Put formula "=SUMPRODUCT(--($A$1:$A$163&lt;A113))" into cell B113.</t>
        </is>
      </c>
      <c r="C450" s="3" t="inlineStr">
        <is>
          <t xml:space="preserve">OK</t>
        </is>
      </c>
    </row>
    <row r="451">
      <c r="B451" s="1" t="inlineStr">
        <is>
          <t xml:space="preserve">Put "ú" into cell A114.</t>
        </is>
      </c>
      <c r="C451" s="3" t="inlineStr">
        <is>
          <t xml:space="preserve">OK</t>
        </is>
      </c>
    </row>
    <row r="452">
      <c r="B452" s="1" t="inlineStr">
        <is>
          <t xml:space="preserve">Put formula "=SUMPRODUCT(--($A$1:$A$163&lt;A114))" into cell B114.</t>
        </is>
      </c>
      <c r="C452" s="3" t="inlineStr">
        <is>
          <t xml:space="preserve">OK</t>
        </is>
      </c>
    </row>
    <row r="453">
      <c r="B453" s="1" t="inlineStr">
        <is>
          <t xml:space="preserve">Put "æ" into cell A115.</t>
        </is>
      </c>
      <c r="C453" s="3" t="inlineStr">
        <is>
          <t xml:space="preserve">OK</t>
        </is>
      </c>
    </row>
    <row r="454">
      <c r="B454" s="1" t="inlineStr">
        <is>
          <t xml:space="preserve">Put formula "=SUMPRODUCT(--($A$1:$A$163&lt;A115))" into cell B115.</t>
        </is>
      </c>
      <c r="C454" s="3" t="inlineStr">
        <is>
          <t xml:space="preserve">OK</t>
        </is>
      </c>
    </row>
    <row r="455">
      <c r="B455" s="1" t="inlineStr">
        <is>
          <t xml:space="preserve">Put "œ" into cell A116.</t>
        </is>
      </c>
      <c r="C455" s="3" t="inlineStr">
        <is>
          <t xml:space="preserve">OK</t>
        </is>
      </c>
    </row>
    <row r="456">
      <c r="B456" s="1" t="inlineStr">
        <is>
          <t xml:space="preserve">Put formula "=SUMPRODUCT(--($A$1:$A$163&lt;A116))" into cell B116.</t>
        </is>
      </c>
      <c r="C456" s="3" t="inlineStr">
        <is>
          <t xml:space="preserve">OK</t>
        </is>
      </c>
    </row>
    <row r="457">
      <c r="B457" s="1" t="inlineStr">
        <is>
          <t xml:space="preserve">Put "ß" into cell A117.</t>
        </is>
      </c>
      <c r="C457" s="3" t="inlineStr">
        <is>
          <t xml:space="preserve">OK</t>
        </is>
      </c>
    </row>
    <row r="458">
      <c r="B458" s="1" t="inlineStr">
        <is>
          <t xml:space="preserve">Put formula "=SUMPRODUCT(--($A$1:$A$163&lt;A117))" into cell B117.</t>
        </is>
      </c>
      <c r="C458" s="3" t="inlineStr">
        <is>
          <t xml:space="preserve">OK</t>
        </is>
      </c>
    </row>
    <row r="459">
      <c r="B459" s="1" t="inlineStr">
        <is>
          <t xml:space="preserve">Put "ÿ" into cell A118.</t>
        </is>
      </c>
      <c r="C459" s="3" t="inlineStr">
        <is>
          <t xml:space="preserve">OK</t>
        </is>
      </c>
    </row>
    <row r="460">
      <c r="B460" s="1" t="inlineStr">
        <is>
          <t xml:space="preserve">Put formula "=SUMPRODUCT(--($A$1:$A$163&lt;A118))" into cell B118.</t>
        </is>
      </c>
      <c r="C460" s="3" t="inlineStr">
        <is>
          <t xml:space="preserve">OK</t>
        </is>
      </c>
    </row>
    <row r="461">
      <c r="B461" s="1" t="inlineStr">
        <is>
          <t xml:space="preserve">Put "ı" into cell A119.</t>
        </is>
      </c>
      <c r="C461" s="3" t="inlineStr">
        <is>
          <t xml:space="preserve">OK</t>
        </is>
      </c>
    </row>
    <row r="462">
      <c r="B462" s="1" t="inlineStr">
        <is>
          <t xml:space="preserve">Put formula "=SUMPRODUCT(--($A$1:$A$163&lt;A119))" into cell B119.</t>
        </is>
      </c>
      <c r="C462" s="3" t="inlineStr">
        <is>
          <t xml:space="preserve">OK</t>
        </is>
      </c>
    </row>
    <row r="463">
      <c r="B463" s="1" t="inlineStr">
        <is>
          <t xml:space="preserve">Put "İ" into cell A120.</t>
        </is>
      </c>
      <c r="C463" s="3" t="inlineStr">
        <is>
          <t xml:space="preserve">OK</t>
        </is>
      </c>
    </row>
    <row r="464">
      <c r="B464" s="1" t="inlineStr">
        <is>
          <t xml:space="preserve">Put formula "=SUMPRODUCT(--($A$1:$A$163&lt;A120))" into cell B120.</t>
        </is>
      </c>
      <c r="C464" s="3" t="inlineStr">
        <is>
          <t xml:space="preserve">OK</t>
        </is>
      </c>
    </row>
    <row r="465">
      <c r="B465" s="1" t="inlineStr">
        <is>
          <t xml:space="preserve">Put "×" into cell A121.</t>
        </is>
      </c>
      <c r="C465" s="3" t="inlineStr">
        <is>
          <t xml:space="preserve">OK</t>
        </is>
      </c>
    </row>
    <row r="466">
      <c r="B466" s="1" t="inlineStr">
        <is>
          <t xml:space="preserve">Put formula "=SUMPRODUCT(--($A$1:$A$163&lt;A121))" into cell B121.</t>
        </is>
      </c>
      <c r="C466" s="3" t="inlineStr">
        <is>
          <t xml:space="preserve">OK</t>
        </is>
      </c>
    </row>
    <row r="467">
      <c r="B467" s="1" t="inlineStr">
        <is>
          <t xml:space="preserve">Put "÷" into cell A122.</t>
        </is>
      </c>
      <c r="C467" s="3" t="inlineStr">
        <is>
          <t xml:space="preserve">OK</t>
        </is>
      </c>
    </row>
    <row r="468">
      <c r="B468" s="1" t="inlineStr">
        <is>
          <t xml:space="preserve">Put formula "=SUMPRODUCT(--($A$1:$A$163&lt;A122))" into cell B122.</t>
        </is>
      </c>
      <c r="C468" s="3" t="inlineStr">
        <is>
          <t xml:space="preserve">OK</t>
        </is>
      </c>
    </row>
    <row r="469">
      <c r="B469" s="1" t="inlineStr">
        <is>
          <t xml:space="preserve">Put "¿" into cell A123.</t>
        </is>
      </c>
      <c r="C469" s="3" t="inlineStr">
        <is>
          <t xml:space="preserve">OK</t>
        </is>
      </c>
    </row>
    <row r="470">
      <c r="B470" s="1" t="inlineStr">
        <is>
          <t xml:space="preserve">Put formula "=SUMPRODUCT(--($A$1:$A$163&lt;A123))" into cell B123.</t>
        </is>
      </c>
      <c r="C470" s="3" t="inlineStr">
        <is>
          <t xml:space="preserve">OK</t>
        </is>
      </c>
    </row>
    <row r="471">
      <c r="B471" s="1" t="inlineStr">
        <is>
          <t xml:space="preserve">Put "¡" into cell A124.</t>
        </is>
      </c>
      <c r="C471" s="3" t="inlineStr">
        <is>
          <t xml:space="preserve">OK</t>
        </is>
      </c>
    </row>
    <row r="472">
      <c r="B472" s="1" t="inlineStr">
        <is>
          <t xml:space="preserve">Put formula "=SUMPRODUCT(--($A$1:$A$163&lt;A124))" into cell B124.</t>
        </is>
      </c>
      <c r="C472" s="3" t="inlineStr">
        <is>
          <t xml:space="preserve">OK</t>
        </is>
      </c>
    </row>
    <row r="473">
      <c r="B473" s="1" t="inlineStr">
        <is>
          <t xml:space="preserve">Put "µ" into cell A125.</t>
        </is>
      </c>
      <c r="C473" s="3" t="inlineStr">
        <is>
          <t xml:space="preserve">OK</t>
        </is>
      </c>
    </row>
    <row r="474">
      <c r="B474" s="1" t="inlineStr">
        <is>
          <t xml:space="preserve">Put formula "=SUMPRODUCT(--($A$1:$A$163&lt;A125))" into cell B125.</t>
        </is>
      </c>
      <c r="C474" s="3" t="inlineStr">
        <is>
          <t xml:space="preserve">OK</t>
        </is>
      </c>
    </row>
    <row r="475">
      <c r="B475" s="1" t="inlineStr">
        <is>
          <t xml:space="preserve">Put "°" into cell A126.</t>
        </is>
      </c>
      <c r="C475" s="3" t="inlineStr">
        <is>
          <t xml:space="preserve">OK</t>
        </is>
      </c>
    </row>
    <row r="476">
      <c r="B476" s="1" t="inlineStr">
        <is>
          <t xml:space="preserve">Put formula "=SUMPRODUCT(--($A$1:$A$163&lt;A126))" into cell B126.</t>
        </is>
      </c>
      <c r="C476" s="3" t="inlineStr">
        <is>
          <t xml:space="preserve">OK</t>
        </is>
      </c>
    </row>
    <row r="477">
      <c r="B477" s="1" t="inlineStr">
        <is>
          <t xml:space="preserve">Put "€" into cell A127.</t>
        </is>
      </c>
      <c r="C477" s="3" t="inlineStr">
        <is>
          <t xml:space="preserve">OK</t>
        </is>
      </c>
    </row>
    <row r="478">
      <c r="B478" s="1" t="inlineStr">
        <is>
          <t xml:space="preserve">Put formula "=SUMPRODUCT(--($A$1:$A$163&lt;A127))" into cell B127.</t>
        </is>
      </c>
      <c r="C478" s="3" t="inlineStr">
        <is>
          <t xml:space="preserve">OK</t>
        </is>
      </c>
    </row>
    <row r="479">
      <c r="B479" s="1" t="inlineStr">
        <is>
          <t xml:space="preserve">Put "—" into cell A128.</t>
        </is>
      </c>
      <c r="C479" s="3" t="inlineStr">
        <is>
          <t xml:space="preserve">OK</t>
        </is>
      </c>
    </row>
    <row r="480">
      <c r="B480" s="1" t="inlineStr">
        <is>
          <t xml:space="preserve">Put formula "=SUMPRODUCT(--($A$1:$A$163&lt;A128))" into cell B128.</t>
        </is>
      </c>
      <c r="C480" s="3" t="inlineStr">
        <is>
          <t xml:space="preserve">OK</t>
        </is>
      </c>
    </row>
    <row r="481">
      <c r="B481" s="1" t="inlineStr">
        <is>
          <t xml:space="preserve">Put "’" into cell A129.</t>
        </is>
      </c>
      <c r="C481" s="3" t="inlineStr">
        <is>
          <t xml:space="preserve">OK</t>
        </is>
      </c>
    </row>
    <row r="482">
      <c r="B482" s="1" t="inlineStr">
        <is>
          <t xml:space="preserve">Put formula "=SUMPRODUCT(--($A$1:$A$163&lt;A129))" into cell B129.</t>
        </is>
      </c>
      <c r="C482" s="3" t="inlineStr">
        <is>
          <t xml:space="preserve">OK</t>
        </is>
      </c>
    </row>
    <row r="483">
      <c r="B483" s="1" t="inlineStr">
        <is>
          <t xml:space="preserve">Put " " into cell A130.</t>
        </is>
      </c>
      <c r="C483" s="3" t="inlineStr">
        <is>
          <t xml:space="preserve">OK</t>
        </is>
      </c>
    </row>
    <row r="484">
      <c r="B484" s="1" t="inlineStr">
        <is>
          <t xml:space="preserve">Put formula "=SUMPRODUCT(--($A$1:$A$163&lt;A130))" into cell B130.</t>
        </is>
      </c>
      <c r="C484" s="3" t="inlineStr">
        <is>
          <t xml:space="preserve">OK</t>
        </is>
      </c>
    </row>
    <row r="485">
      <c r="B485" s="1" t="inlineStr">
        <is>
          <t xml:space="preserve">Put "Ω" into cell A131.</t>
        </is>
      </c>
      <c r="C485" s="3" t="inlineStr">
        <is>
          <t xml:space="preserve">OK</t>
        </is>
      </c>
    </row>
    <row r="486">
      <c r="B486" s="1" t="inlineStr">
        <is>
          <t xml:space="preserve">Put formula "=SUMPRODUCT(--($A$1:$A$163&lt;A131))" into cell B131.</t>
        </is>
      </c>
      <c r="C486" s="3" t="inlineStr">
        <is>
          <t xml:space="preserve">OK</t>
        </is>
      </c>
    </row>
    <row r="487">
      <c r="B487" s="1" t="inlineStr">
        <is>
          <t xml:space="preserve">Put "α" into cell A132.</t>
        </is>
      </c>
      <c r="C487" s="3" t="inlineStr">
        <is>
          <t xml:space="preserve">OK</t>
        </is>
      </c>
    </row>
    <row r="488">
      <c r="B488" s="1" t="inlineStr">
        <is>
          <t xml:space="preserve">Put formula "=SUMPRODUCT(--($A$1:$A$163&lt;A132))" into cell B132.</t>
        </is>
      </c>
      <c r="C488" s="3" t="inlineStr">
        <is>
          <t xml:space="preserve">OK</t>
        </is>
      </c>
    </row>
    <row r="489">
      <c r="B489" s="1" t="inlineStr">
        <is>
          <t xml:space="preserve">Put "Ж" into cell A133.</t>
        </is>
      </c>
      <c r="C489" s="3" t="inlineStr">
        <is>
          <t xml:space="preserve">OK</t>
        </is>
      </c>
    </row>
    <row r="490">
      <c r="B490" s="1" t="inlineStr">
        <is>
          <t xml:space="preserve">Put formula "=SUMPRODUCT(--($A$1:$A$163&lt;A133))" into cell B133.</t>
        </is>
      </c>
      <c r="C490" s="3" t="inlineStr">
        <is>
          <t xml:space="preserve">OK</t>
        </is>
      </c>
    </row>
    <row r="491">
      <c r="B491" s="1" t="inlineStr">
        <is>
          <t xml:space="preserve">Put "日" into cell A134.</t>
        </is>
      </c>
      <c r="C491" s="3" t="inlineStr">
        <is>
          <t xml:space="preserve">OK</t>
        </is>
      </c>
    </row>
    <row r="492">
      <c r="B492" s="1" t="inlineStr">
        <is>
          <t xml:space="preserve">Put formula "=SUMPRODUCT(--($A$1:$A$163&lt;A134))" into cell B134.</t>
        </is>
      </c>
      <c r="C492" s="3" t="inlineStr">
        <is>
          <t xml:space="preserve">OK</t>
        </is>
      </c>
    </row>
    <row r="493">
      <c r="B493" s="1" t="inlineStr">
        <is>
          <t xml:space="preserve">Put "😀" into cell A135.</t>
        </is>
      </c>
      <c r="C493" s="3" t="inlineStr">
        <is>
          <t xml:space="preserve">OK</t>
        </is>
      </c>
    </row>
    <row r="494">
      <c r="B494" s="1" t="inlineStr">
        <is>
          <t xml:space="preserve">Put formula "=SUMPRODUCT(--($A$1:$A$163&lt;A135))" into cell B135.</t>
        </is>
      </c>
      <c r="C494" s="3" t="inlineStr">
        <is>
          <t xml:space="preserve">OK</t>
        </is>
      </c>
    </row>
    <row r="495">
      <c r="B495" s="1" t="inlineStr">
        <is>
          <t xml:space="preserve">Put "co-op" into cell A136.</t>
        </is>
      </c>
      <c r="C495" s="3" t="inlineStr">
        <is>
          <t xml:space="preserve">OK</t>
        </is>
      </c>
    </row>
    <row r="496">
      <c r="B496" s="1" t="inlineStr">
        <is>
          <t xml:space="preserve">Put formula "=SUMPRODUCT(--($A$1:$A$163&lt;A136))" into cell B136.</t>
        </is>
      </c>
      <c r="C496" s="3" t="inlineStr">
        <is>
          <t xml:space="preserve">OK</t>
        </is>
      </c>
    </row>
    <row r="497">
      <c r="B497" s="1" t="inlineStr">
        <is>
          <t xml:space="preserve">Put "coop" into cell A137.</t>
        </is>
      </c>
      <c r="C497" s="3" t="inlineStr">
        <is>
          <t xml:space="preserve">OK</t>
        </is>
      </c>
    </row>
    <row r="498">
      <c r="B498" s="1" t="inlineStr">
        <is>
          <t xml:space="preserve">Put formula "=SUMPRODUCT(--($A$1:$A$163&lt;A137))" into cell B137.</t>
        </is>
      </c>
      <c r="C498" s="3" t="inlineStr">
        <is>
          <t xml:space="preserve">OK</t>
        </is>
      </c>
    </row>
    <row r="499">
      <c r="B499" s="1" t="inlineStr">
        <is>
          <t xml:space="preserve">Put "co op" into cell A138.</t>
        </is>
      </c>
      <c r="C499" s="3" t="inlineStr">
        <is>
          <t xml:space="preserve">OK</t>
        </is>
      </c>
    </row>
    <row r="500">
      <c r="B500" s="1" t="inlineStr">
        <is>
          <t xml:space="preserve">Put formula "=SUMPRODUCT(--($A$1:$A$163&lt;A138))" into cell B138.</t>
        </is>
      </c>
      <c r="C500" s="3" t="inlineStr">
        <is>
          <t xml:space="preserve">OK</t>
        </is>
      </c>
    </row>
    <row r="501">
      <c r="B501" s="1" t="inlineStr">
        <is>
          <t xml:space="preserve">Put "coo" into cell A139.</t>
        </is>
      </c>
      <c r="C501" s="3" t="inlineStr">
        <is>
          <t xml:space="preserve">OK</t>
        </is>
      </c>
    </row>
    <row r="502">
      <c r="B502" s="1" t="inlineStr">
        <is>
          <t xml:space="preserve">Put formula "=SUMPRODUCT(--($A$1:$A$163&lt;A139))" into cell B139.</t>
        </is>
      </c>
      <c r="C502" s="3" t="inlineStr">
        <is>
          <t xml:space="preserve">OK</t>
        </is>
      </c>
    </row>
    <row r="503">
      <c r="B503" s="1" t="inlineStr">
        <is>
          <t xml:space="preserve">Put "cop" into cell A140.</t>
        </is>
      </c>
      <c r="C503" s="3" t="inlineStr">
        <is>
          <t xml:space="preserve">OK</t>
        </is>
      </c>
    </row>
    <row r="504">
      <c r="B504" s="1" t="inlineStr">
        <is>
          <t xml:space="preserve">Put formula "=SUMPRODUCT(--($A$1:$A$163&lt;A140))" into cell B140.</t>
        </is>
      </c>
      <c r="C504" s="3" t="inlineStr">
        <is>
          <t xml:space="preserve">OK</t>
        </is>
      </c>
    </row>
    <row r="505">
      <c r="B505" s="1" t="inlineStr">
        <is>
          <t xml:space="preserve">Put "a-" into cell A141.</t>
        </is>
      </c>
      <c r="C505" s="3" t="inlineStr">
        <is>
          <t xml:space="preserve">OK</t>
        </is>
      </c>
    </row>
    <row r="506">
      <c r="B506" s="1" t="inlineStr">
        <is>
          <t xml:space="preserve">Put formula "=SUMPRODUCT(--($A$1:$A$163&lt;A141))" into cell B141.</t>
        </is>
      </c>
      <c r="C506" s="3" t="inlineStr">
        <is>
          <t xml:space="preserve">OK</t>
        </is>
      </c>
    </row>
    <row r="507">
      <c r="B507" s="1" t="inlineStr">
        <is>
          <t xml:space="preserve">Put "-a" into cell A142.</t>
        </is>
      </c>
      <c r="C507" s="3" t="inlineStr">
        <is>
          <t xml:space="preserve">OK</t>
        </is>
      </c>
    </row>
    <row r="508">
      <c r="B508" s="1" t="inlineStr">
        <is>
          <t xml:space="preserve">Put formula "=SUMPRODUCT(--($A$1:$A$163&lt;A142))" into cell B142.</t>
        </is>
      </c>
      <c r="C508" s="3" t="inlineStr">
        <is>
          <t xml:space="preserve">OK</t>
        </is>
      </c>
    </row>
    <row r="509">
      <c r="B509" s="1" t="inlineStr">
        <is>
          <t xml:space="preserve">Put "ab" into cell A143.</t>
        </is>
      </c>
      <c r="C509" s="3" t="inlineStr">
        <is>
          <t xml:space="preserve">OK</t>
        </is>
      </c>
    </row>
    <row r="510">
      <c r="B510" s="1" t="inlineStr">
        <is>
          <t xml:space="preserve">Put formula "=SUMPRODUCT(--($A$1:$A$163&lt;A143))" into cell B143.</t>
        </is>
      </c>
      <c r="C510" s="3" t="inlineStr">
        <is>
          <t xml:space="preserve">OK</t>
        </is>
      </c>
    </row>
    <row r="511">
      <c r="B511" s="1" t="inlineStr">
        <is>
          <t xml:space="preserve">Put "a b" into cell A144.</t>
        </is>
      </c>
      <c r="C511" s="3" t="inlineStr">
        <is>
          <t xml:space="preserve">OK</t>
        </is>
      </c>
    </row>
    <row r="512">
      <c r="B512" s="1" t="inlineStr">
        <is>
          <t xml:space="preserve">Put formula "=SUMPRODUCT(--($A$1:$A$163&lt;A144))" into cell B144.</t>
        </is>
      </c>
      <c r="C512" s="3" t="inlineStr">
        <is>
          <t xml:space="preserve">OK</t>
        </is>
      </c>
    </row>
    <row r="513">
      <c r="B513" s="1" t="inlineStr">
        <is>
          <t xml:space="preserve">Put "a-b" into cell A145.</t>
        </is>
      </c>
      <c r="C513" s="3" t="inlineStr">
        <is>
          <t xml:space="preserve">OK</t>
        </is>
      </c>
    </row>
    <row r="514">
      <c r="B514" s="1" t="inlineStr">
        <is>
          <t xml:space="preserve">Put formula "=SUMPRODUCT(--($A$1:$A$163&lt;A145))" into cell B145.</t>
        </is>
      </c>
      <c r="C514" s="3" t="inlineStr">
        <is>
          <t xml:space="preserve">OK</t>
        </is>
      </c>
    </row>
    <row r="515">
      <c r="B515" s="1" t="inlineStr">
        <is>
          <t xml:space="preserve">Put "a'b" into cell A146.</t>
        </is>
      </c>
      <c r="C515" s="3" t="inlineStr">
        <is>
          <t xml:space="preserve">OK</t>
        </is>
      </c>
    </row>
    <row r="516">
      <c r="B516" s="1" t="inlineStr">
        <is>
          <t xml:space="preserve">Put formula "=SUMPRODUCT(--($A$1:$A$163&lt;A146))" into cell B146.</t>
        </is>
      </c>
      <c r="C516" s="3" t="inlineStr">
        <is>
          <t xml:space="preserve">OK</t>
        </is>
      </c>
    </row>
    <row r="517">
      <c r="B517" s="1" t="inlineStr">
        <is>
          <t xml:space="preserve">Put "résumé" into cell A147.</t>
        </is>
      </c>
      <c r="C517" s="3" t="inlineStr">
        <is>
          <t xml:space="preserve">OK</t>
        </is>
      </c>
    </row>
    <row r="518">
      <c r="B518" s="1" t="inlineStr">
        <is>
          <t xml:space="preserve">Put formula "=SUMPRODUCT(--($A$1:$A$163&lt;A147))" into cell B147.</t>
        </is>
      </c>
      <c r="C518" s="3" t="inlineStr">
        <is>
          <t xml:space="preserve">OK</t>
        </is>
      </c>
    </row>
    <row r="519">
      <c r="B519" s="1" t="inlineStr">
        <is>
          <t xml:space="preserve">Put "resume" into cell A148.</t>
        </is>
      </c>
      <c r="C519" s="3" t="inlineStr">
        <is>
          <t xml:space="preserve">OK</t>
        </is>
      </c>
    </row>
    <row r="520">
      <c r="B520" s="1" t="inlineStr">
        <is>
          <t xml:space="preserve">Put formula "=SUMPRODUCT(--($A$1:$A$163&lt;A148))" into cell B148.</t>
        </is>
      </c>
      <c r="C520" s="3" t="inlineStr">
        <is>
          <t xml:space="preserve">OK</t>
        </is>
      </c>
    </row>
    <row r="521">
      <c r="B521" s="1" t="inlineStr">
        <is>
          <t xml:space="preserve">Put "Résumé" into cell A149.</t>
        </is>
      </c>
      <c r="C521" s="3" t="inlineStr">
        <is>
          <t xml:space="preserve">OK</t>
        </is>
      </c>
    </row>
    <row r="522">
      <c r="B522" s="1" t="inlineStr">
        <is>
          <t xml:space="preserve">Put formula "=SUMPRODUCT(--($A$1:$A$163&lt;A149))" into cell B149.</t>
        </is>
      </c>
      <c r="C522" s="3" t="inlineStr">
        <is>
          <t xml:space="preserve">OK</t>
        </is>
      </c>
    </row>
    <row r="523">
      <c r="B523" s="1" t="inlineStr">
        <is>
          <t xml:space="preserve">Put "ss" into cell A150.</t>
        </is>
      </c>
      <c r="C523" s="3" t="inlineStr">
        <is>
          <t xml:space="preserve">OK</t>
        </is>
      </c>
    </row>
    <row r="524">
      <c r="B524" s="1" t="inlineStr">
        <is>
          <t xml:space="preserve">Put formula "=SUMPRODUCT(--($A$1:$A$163&lt;A150))" into cell B150.</t>
        </is>
      </c>
      <c r="C524" s="3" t="inlineStr">
        <is>
          <t xml:space="preserve">OK</t>
        </is>
      </c>
    </row>
    <row r="525">
      <c r="B525" s="1" t="inlineStr">
        <is>
          <t xml:space="preserve">Put "st" into cell A151.</t>
        </is>
      </c>
      <c r="C525" s="3" t="inlineStr">
        <is>
          <t xml:space="preserve">OK</t>
        </is>
      </c>
    </row>
    <row r="526">
      <c r="B526" s="1" t="inlineStr">
        <is>
          <t xml:space="preserve">Put formula "=SUMPRODUCT(--($A$1:$A$163&lt;A151))" into cell B151.</t>
        </is>
      </c>
      <c r="C526" s="3" t="inlineStr">
        <is>
          <t xml:space="preserve">OK</t>
        </is>
      </c>
    </row>
    <row r="527">
      <c r="B527" s="1" t="inlineStr">
        <is>
          <t xml:space="preserve">Put "ae" into cell A152.</t>
        </is>
      </c>
      <c r="C527" s="3" t="inlineStr">
        <is>
          <t xml:space="preserve">OK</t>
        </is>
      </c>
    </row>
    <row r="528">
      <c r="B528" s="1" t="inlineStr">
        <is>
          <t xml:space="preserve">Put formula "=SUMPRODUCT(--($A$1:$A$163&lt;A152))" into cell B152.</t>
        </is>
      </c>
      <c r="C528" s="3" t="inlineStr">
        <is>
          <t xml:space="preserve">OK</t>
        </is>
      </c>
    </row>
    <row r="529">
      <c r="B529" s="1" t="inlineStr">
        <is>
          <t xml:space="preserve">Put "af" into cell A153.</t>
        </is>
      </c>
      <c r="C529" s="3" t="inlineStr">
        <is>
          <t xml:space="preserve">OK</t>
        </is>
      </c>
    </row>
    <row r="530">
      <c r="B530" s="1" t="inlineStr">
        <is>
          <t xml:space="preserve">Put formula "=SUMPRODUCT(--($A$1:$A$163&lt;A153))" into cell B153.</t>
        </is>
      </c>
      <c r="C530" s="3" t="inlineStr">
        <is>
          <t xml:space="preserve">OK</t>
        </is>
      </c>
    </row>
    <row r="531">
      <c r="B531" s="1" t="inlineStr">
        <is>
          <t xml:space="preserve">Put "10" into cell A154.</t>
        </is>
      </c>
      <c r="C531" s="3" t="inlineStr">
        <is>
          <t xml:space="preserve">OK</t>
        </is>
      </c>
    </row>
    <row r="532">
      <c r="B532" s="1" t="inlineStr">
        <is>
          <t xml:space="preserve">Put formula "=SUMPRODUCT(--($A$1:$A$163&lt;A154))" into cell B154.</t>
        </is>
      </c>
      <c r="C532" s="3" t="inlineStr">
        <is>
          <t xml:space="preserve">OK</t>
        </is>
      </c>
    </row>
    <row r="533">
      <c r="B533" s="1" t="inlineStr">
        <is>
          <t xml:space="preserve">Put "2" into cell A155.</t>
        </is>
      </c>
      <c r="C533" s="3" t="inlineStr">
        <is>
          <t xml:space="preserve">OK</t>
        </is>
      </c>
    </row>
    <row r="534">
      <c r="B534" s="1" t="inlineStr">
        <is>
          <t xml:space="preserve">Put formula "=SUMPRODUCT(--($A$1:$A$163&lt;A155))" into cell B155.</t>
        </is>
      </c>
      <c r="C534" s="3" t="inlineStr">
        <is>
          <t xml:space="preserve">OK</t>
        </is>
      </c>
    </row>
    <row r="535">
      <c r="B535" s="1" t="inlineStr">
        <is>
          <t xml:space="preserve">Put "A1" into cell A156.</t>
        </is>
      </c>
      <c r="C535" s="3" t="inlineStr">
        <is>
          <t xml:space="preserve">OK</t>
        </is>
      </c>
    </row>
    <row r="536">
      <c r="B536" s="1" t="inlineStr">
        <is>
          <t xml:space="preserve">Put formula "=SUMPRODUCT(--($A$1:$A$163&lt;A156))" into cell B156.</t>
        </is>
      </c>
      <c r="C536" s="3" t="inlineStr">
        <is>
          <t xml:space="preserve">OK</t>
        </is>
      </c>
    </row>
    <row r="537">
      <c r="B537" s="1" t="inlineStr">
        <is>
          <t xml:space="preserve">Put "A10" into cell A157.</t>
        </is>
      </c>
      <c r="C537" s="3" t="inlineStr">
        <is>
          <t xml:space="preserve">OK</t>
        </is>
      </c>
    </row>
    <row r="538">
      <c r="B538" s="1" t="inlineStr">
        <is>
          <t xml:space="preserve">Put formula "=SUMPRODUCT(--($A$1:$A$163&lt;A157))" into cell B157.</t>
        </is>
      </c>
      <c r="C538" s="3" t="inlineStr">
        <is>
          <t xml:space="preserve">OK</t>
        </is>
      </c>
    </row>
    <row r="539">
      <c r="B539" s="1" t="inlineStr">
        <is>
          <t xml:space="preserve">Put "A2" into cell A158.</t>
        </is>
      </c>
      <c r="C539" s="3" t="inlineStr">
        <is>
          <t xml:space="preserve">OK</t>
        </is>
      </c>
    </row>
    <row r="540">
      <c r="B540" s="1" t="inlineStr">
        <is>
          <t xml:space="preserve">Put formula "=SUMPRODUCT(--($A$1:$A$163&lt;A158))" into cell B158.</t>
        </is>
      </c>
      <c r="C540" s="3" t="inlineStr">
        <is>
          <t xml:space="preserve">OK</t>
        </is>
      </c>
    </row>
    <row r="541">
      <c r="B541" s="1" t="inlineStr">
        <is>
          <t xml:space="preserve">Put "a1" into cell A159.</t>
        </is>
      </c>
      <c r="C541" s="3" t="inlineStr">
        <is>
          <t xml:space="preserve">OK</t>
        </is>
      </c>
    </row>
    <row r="542">
      <c r="B542" s="1" t="inlineStr">
        <is>
          <t xml:space="preserve">Put formula "=SUMPRODUCT(--($A$1:$A$163&lt;A159))" into cell B159.</t>
        </is>
      </c>
      <c r="C542" s="3" t="inlineStr">
        <is>
          <t xml:space="preserve">OK</t>
        </is>
      </c>
    </row>
    <row r="543">
      <c r="B543" s="1" t="inlineStr">
        <is>
          <t xml:space="preserve">Put "  " into cell A160.</t>
        </is>
      </c>
      <c r="C543" s="3" t="inlineStr">
        <is>
          <t xml:space="preserve">OK</t>
        </is>
      </c>
    </row>
    <row r="544">
      <c r="B544" s="1" t="inlineStr">
        <is>
          <t xml:space="preserve">Put formula "=SUMPRODUCT(--($A$1:$A$163&lt;A160))" into cell B160.</t>
        </is>
      </c>
      <c r="C544" s="3" t="inlineStr">
        <is>
          <t xml:space="preserve">OK</t>
        </is>
      </c>
    </row>
    <row r="545">
      <c r="B545" s="1" t="inlineStr">
        <is>
          <t xml:space="preserve">Put "aa" into cell A161.</t>
        </is>
      </c>
      <c r="C545" s="3" t="inlineStr">
        <is>
          <t xml:space="preserve">OK</t>
        </is>
      </c>
    </row>
    <row r="546">
      <c r="B546" s="1" t="inlineStr">
        <is>
          <t xml:space="preserve">Put formula "=SUMPRODUCT(--($A$1:$A$163&lt;A161))" into cell B161.</t>
        </is>
      </c>
      <c r="C546" s="3" t="inlineStr">
        <is>
          <t xml:space="preserve">OK</t>
        </is>
      </c>
    </row>
    <row r="547">
      <c r="B547" s="1" t="inlineStr">
        <is>
          <t xml:space="preserve">Put "aA" into cell A162.</t>
        </is>
      </c>
      <c r="C547" s="3" t="inlineStr">
        <is>
          <t xml:space="preserve">OK</t>
        </is>
      </c>
    </row>
    <row r="548">
      <c r="B548" s="1" t="inlineStr">
        <is>
          <t xml:space="preserve">Put formula "=SUMPRODUCT(--($A$1:$A$163&lt;A162))" into cell B162.</t>
        </is>
      </c>
      <c r="C548" s="3" t="inlineStr">
        <is>
          <t xml:space="preserve">OK</t>
        </is>
      </c>
    </row>
    <row r="549">
      <c r="B549" s="1" t="inlineStr">
        <is>
          <t xml:space="preserve">Put "Aa" into cell A163.</t>
        </is>
      </c>
      <c r="C549" s="3" t="inlineStr">
        <is>
          <t xml:space="preserve">OK</t>
        </is>
      </c>
    </row>
    <row r="550">
      <c r="B550" s="1" t="inlineStr">
        <is>
          <t xml:space="preserve">Put formula "=SUMPRODUCT(--($A$1:$A$163&lt;A163))" into cell B163.</t>
        </is>
      </c>
      <c r="C550" s="3" t="inlineStr">
        <is>
          <t xml:space="preserve">OK</t>
        </is>
      </c>
    </row>
  </sheetData>
</worksheet>
</file>

<file path=xl/worksheets/frazaro_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activeCell="A1" sqref="A1"/>
    </sheetView>
  </sheetViews>
  <sheetFormatPr defaultRowHeight="15"/>
  <sheetData>
    <row r="1">
      <c r="A1" s="0" t="inlineStr">
        <is>
          <t xml:space="preserve">Hello World</t>
        </is>
      </c>
      <c r="B1" s="0" t="inlineStr">
        <is>
          <t xml:space="preserve">x</t>
        </is>
      </c>
      <c r="C1" s="0" t="inlineStr">
        <is>
          <t xml:space="preserve">1,000</t>
        </is>
      </c>
      <c r="D1" s="0" t="inlineStr">
        <is>
          <t xml:space="preserve">-</t>
        </is>
      </c>
    </row>
    <row r="2">
      <c r="A2" s="0" t="inlineStr">
        <is>
          <t xml:space="preserve">  lots   of   space  </t>
        </is>
      </c>
      <c r="C2" s="0" t="inlineStr">
        <is>
          <t xml:space="preserve">12abc</t>
        </is>
      </c>
      <c r="D2" s="0" t="inlineStr">
        <is>
          <t xml:space="preserve">+</t>
        </is>
      </c>
    </row>
    <row r="3">
      <c r="A3" s="0" t="inlineStr">
        <is>
          <t xml:space="preserve">o'neil 2nd-place</t>
        </is>
      </c>
      <c r="B3" s="0" t="inlineStr">
        <is>
          <t xml:space="preserve">z</t>
        </is>
      </c>
      <c r="C3" s="0" t="inlineStr">
        <is>
          <t xml:space="preserve">50%</t>
        </is>
      </c>
    </row>
    <row r="4">
      <c r="A4" s="0" t="inlineStr">
        <is>
          <t xml:space="preserve">Éclair ß</t>
        </is>
      </c>
      <c r="C4" s="0" t="inlineStr">
        <is>
          <t xml:space="preserve"> 7 </t>
        </is>
      </c>
    </row>
    <row r="5">
      <c r="A5" s="0" t="inlineStr">
        <is>
          <t xml:space="preserve">😀ab</t>
        </is>
      </c>
      <c r="C5" s="0" t="inlineStr">
        <is>
          <t xml:space="preserve">abc</t>
        </is>
      </c>
    </row>
    <row r="6">
      <c r="A6" s="0" t="inlineStr">
        <is>
          <t xml:space="preserve">a😀b</t>
        </is>
      </c>
    </row>
    <row r="7">
      <c r="A7" s="0">
        <v>123.5</v>
      </c>
    </row>
    <row r="8">
      <c r="A8" s="0" t="b">
        <f>TRUE</f>
        <v>1</v>
      </c>
    </row>
    <row r="9">
      <c r="A9" s="0" t="e">
        <f>1/0</f>
        <v>#DIV/0!</v>
      </c>
    </row>
  </sheetData>
</worksheet>
</file>

<file path=xl/worksheets/frazaro_3.xml><?xml version="1.0" encoding="utf-8"?>
<worksheet xmlns="http://schemas.openxmlformats.org/spreadsheetml/2006/main" xmlns:r="http://schemas.openxmlformats.org/officeDocument/2006/relationships">
  <dimension ref="A1:A192"/>
  <sheetViews>
    <sheetView workbookViewId="0">
      <selection activeCell="A1" sqref="A1"/>
    </sheetView>
  </sheetViews>
  <sheetFormatPr defaultRowHeight="15"/>
  <sheetData>
    <row r="1">
      <c r="A1" s="0">
        <f>LEN(Data!A1)</f>
        <v>11</v>
      </c>
    </row>
    <row r="2">
      <c r="A2" s="0">
        <f>LEN(Data!A5)</f>
        <v>3</v>
      </c>
    </row>
    <row r="3">
      <c r="A3" s="0">
        <f>LEN(Data!A7)</f>
        <v>5</v>
      </c>
    </row>
    <row r="4">
      <c r="A4" s="0">
        <f>LEN(Data!A8)</f>
        <v>4</v>
      </c>
    </row>
    <row r="5">
      <c r="A5" s="0">
        <f>LEN("")</f>
        <v>0</v>
      </c>
    </row>
    <row r="6">
      <c r="A6" s="0" t="e">
        <f>LEN(Data!A9)</f>
        <v>#DIV/0!</v>
      </c>
    </row>
    <row r="7">
      <c r="A7" s="0" t="str">
        <f>LEFT(Data!A1)</f>
        <v>H</v>
      </c>
    </row>
    <row r="8">
      <c r="A8" s="0" t="str">
        <f>LEFT(Data!A1,5)</f>
        <v>Hello</v>
      </c>
    </row>
    <row r="9">
      <c r="A9" s="0" t="str">
        <f>LEFT(Data!A1,99)</f>
        <v>Hello World</v>
      </c>
    </row>
    <row r="10">
      <c r="A10" s="0" t="str">
        <f>LEFT(Data!A1,0)</f>
        <v/>
      </c>
    </row>
    <row r="11">
      <c r="A11" s="0" t="str">
        <f>LEFT(Data!A1,2.9)</f>
        <v>He</v>
      </c>
    </row>
    <row r="12">
      <c r="A12" s="0" t="e">
        <f>LEFT(Data!A1,-1)</f>
        <v>#VALUE!</v>
      </c>
    </row>
    <row r="13">
      <c r="A13" s="0" t="e">
        <f>LEFT(Data!A1,-0.5)</f>
        <v>#VALUE!</v>
      </c>
    </row>
    <row r="14">
      <c r="A14" s="0" t="str">
        <f>LEFT(1234,2)</f>
        <v>12</v>
      </c>
    </row>
    <row r="15">
      <c r="A15" s="0" t="str">
        <f>LEFT(Data!A5,2)</f>
        <v>😀a</v>
      </c>
    </row>
    <row r="16">
      <c r="A16" s="0" t="str">
        <f>LEFT(Data!A5,1)</f>
        <v>😀</v>
      </c>
    </row>
    <row r="17">
      <c r="A17" s="0" t="str">
        <f>RIGHT(Data!A1,5)</f>
        <v>World</v>
      </c>
    </row>
    <row r="18">
      <c r="A18" s="0" t="str">
        <f>RIGHT(Data!A6,3)</f>
        <v>a😀b</v>
      </c>
    </row>
    <row r="19">
      <c r="A19" s="0" t="str">
        <f>RIGHT(Data!A6,2)</f>
        <v>😀b</v>
      </c>
    </row>
    <row r="20">
      <c r="A20" s="0" t="str">
        <f>MID(Data!A1,7,5)</f>
        <v>World</v>
      </c>
    </row>
    <row r="21">
      <c r="A21" s="0" t="str">
        <f>MID(Data!A1,7,99)</f>
        <v>World</v>
      </c>
    </row>
    <row r="22">
      <c r="A22" s="0" t="str">
        <f>MID(Data!A1,20,5)</f>
        <v/>
      </c>
    </row>
    <row r="23">
      <c r="A23" s="0" t="e">
        <f>MID(Data!A1,0,5)</f>
        <v>#VALUE!</v>
      </c>
    </row>
    <row r="24">
      <c r="A24" s="0" t="e">
        <f>MID(Data!A1,1,-1)</f>
        <v>#VALUE!</v>
      </c>
    </row>
    <row r="25">
      <c r="A25" s="0" t="str">
        <f>MID(Data!A6,2,2)</f>
        <v>😀b</v>
      </c>
    </row>
    <row r="26">
      <c r="A26" s="0" t="str">
        <f>MID(Data!A6,3,1)</f>
        <v>b</v>
      </c>
    </row>
    <row r="27">
      <c r="A27" s="0" t="str">
        <f>MID(Data!A1,1.9,2)</f>
        <v>He</v>
      </c>
    </row>
    <row r="28">
      <c r="A28" s="0">
        <f>FIND("o",Data!A1)</f>
        <v>5</v>
      </c>
    </row>
    <row r="29">
      <c r="A29" s="0">
        <f>FIND("o",Data!A1,6)</f>
        <v>8</v>
      </c>
    </row>
    <row r="30">
      <c r="A30" s="0" t="e">
        <f>FIND("O",Data!A1)</f>
        <v>#VALUE!</v>
      </c>
    </row>
    <row r="31">
      <c r="A31" s="0" t="e">
        <f>FIND("x",Data!A1)</f>
        <v>#VALUE!</v>
      </c>
    </row>
    <row r="32">
      <c r="A32" s="0" t="e">
        <f>FIND("o",Data!A1,0)</f>
        <v>#VALUE!</v>
      </c>
    </row>
    <row r="33">
      <c r="A33" s="0" t="e">
        <f>FIND("o",Data!A1,12)</f>
        <v>#VALUE!</v>
      </c>
    </row>
    <row r="34">
      <c r="A34" s="0">
        <f>FIND("",Data!A1)</f>
        <v>1</v>
      </c>
    </row>
    <row r="35">
      <c r="A35" s="0">
        <f>FIND("",Data!A1,3)</f>
        <v>3</v>
      </c>
    </row>
    <row r="36">
      <c r="A36" s="0">
        <f>FIND("",Data!A1,12)</f>
        <v>12</v>
      </c>
    </row>
    <row r="37">
      <c r="A37" s="0">
        <f>FIND("","")</f>
        <v>1</v>
      </c>
    </row>
    <row r="38">
      <c r="A38" s="0">
        <f>FIND("b",Data!A6)</f>
        <v>3</v>
      </c>
    </row>
    <row r="39">
      <c r="A39" s="0">
        <f>SEARCH("O",Data!A1)</f>
        <v>5</v>
      </c>
    </row>
    <row r="40">
      <c r="A40" s="0">
        <f>SEARCH("w?r",Data!A1)</f>
        <v>7</v>
      </c>
    </row>
    <row r="41">
      <c r="A41" s="0">
        <f>SEARCH("l*d",Data!A1)</f>
        <v>3</v>
      </c>
    </row>
    <row r="42">
      <c r="A42" s="0">
        <f>SEARCH("~*","a*b")</f>
        <v>2</v>
      </c>
    </row>
    <row r="43">
      <c r="A43" s="0">
        <f>SEARCH("é",Data!A4)</f>
        <v>1</v>
      </c>
    </row>
    <row r="44">
      <c r="A44" s="0">
        <f>SEARCH("É",Data!A4)</f>
        <v>1</v>
      </c>
    </row>
    <row r="45">
      <c r="A45" s="0">
        <f>SEARCH("?",Data!A6)</f>
        <v>1</v>
      </c>
    </row>
    <row r="46">
      <c r="A46" s="0">
        <f>SEARCH("b",Data!A6)</f>
        <v>3</v>
      </c>
    </row>
    <row r="47">
      <c r="A47" s="0">
        <f>SEARCH("*",Data!A1)</f>
        <v>1</v>
      </c>
    </row>
    <row r="48">
      <c r="A48" s="0">
        <f>SEARCH("d*",Data!A1)</f>
        <v>11</v>
      </c>
    </row>
    <row r="49">
      <c r="A49" s="0" t="str">
        <f>SUBSTITUTE("aaa","aa","b")</f>
        <v>ba</v>
      </c>
    </row>
    <row r="50">
      <c r="A50" s="0" t="str">
        <f>SUBSTITUTE("a-b-c","-","+")</f>
        <v>a+b+c</v>
      </c>
    </row>
    <row r="51">
      <c r="A51" s="0" t="str">
        <f>SUBSTITUTE("a-b-c","-","+",2)</f>
        <v>a-b+c</v>
      </c>
    </row>
    <row r="52">
      <c r="A52" s="0" t="str">
        <f>SUBSTITUTE("a-b-c","-","+",3)</f>
        <v>a-b-c</v>
      </c>
    </row>
    <row r="53">
      <c r="A53" s="0" t="str">
        <f>SUBSTITUTE("abc","","x")</f>
        <v>abc</v>
      </c>
    </row>
    <row r="54">
      <c r="A54" s="0" t="str">
        <f>SUBSTITUTE("abc","B","x")</f>
        <v>abc</v>
      </c>
    </row>
    <row r="55">
      <c r="A55" s="0" t="e">
        <f>SUBSTITUTE("abc","b","x",0)</f>
        <v>#VALUE!</v>
      </c>
    </row>
    <row r="56">
      <c r="A56" s="0" t="str">
        <f>SUBSTITUTE("abc","b","x",1.9)</f>
        <v>axc</v>
      </c>
    </row>
    <row r="57">
      <c r="A57" s="0" t="str">
        <f>REPLACE("abcdef",2,3,"X")</f>
        <v>aXef</v>
      </c>
    </row>
    <row r="58">
      <c r="A58" s="0" t="str">
        <f>REPLACE("abc",10,1,"X")</f>
        <v>abcX</v>
      </c>
    </row>
    <row r="59">
      <c r="A59" s="0" t="e">
        <f>REPLACE("abc",0,1,"X")</f>
        <v>#VALUE!</v>
      </c>
    </row>
    <row r="60">
      <c r="A60" s="0" t="e">
        <f>REPLACE("abc",1,-1,"X")</f>
        <v>#VALUE!</v>
      </c>
    </row>
    <row r="61">
      <c r="A61" s="0" t="str">
        <f>REPLACE(Data!A5,2,1,"X")</f>
        <v>😀Xb</v>
      </c>
    </row>
    <row r="62">
      <c r="A62" s="0" t="str">
        <f>REPLACE(Data!A5,3,1,"X")</f>
        <v>😀aX</v>
      </c>
    </row>
    <row r="63">
      <c r="A63" s="0" t="str">
        <f>UPPER(Data!A4)</f>
        <v>ÉCLAIR ß</v>
      </c>
    </row>
    <row r="64">
      <c r="A64" s="0" t="str">
        <f>LOWER("ÉCLAIR")</f>
        <v>éclair</v>
      </c>
    </row>
    <row r="65">
      <c r="A65" s="0" t="str">
        <f>PROPER(Data!A3)</f>
        <v>O'Neil 2Nd-Place</v>
      </c>
    </row>
    <row r="66">
      <c r="A66" s="0" t="str">
        <f>PROPER("hELLO wORLD")</f>
        <v>Hello World</v>
      </c>
    </row>
    <row r="67">
      <c r="A67" s="0" t="str">
        <f>UPPER("ﬁ")</f>
        <v>ﬁ</v>
      </c>
    </row>
    <row r="68">
      <c r="A68" s="0" t="str">
        <f>LOWER("İ")</f>
        <v>i</v>
      </c>
    </row>
    <row r="69">
      <c r="A69" s="0" t="str">
        <f>PROPER("élan vital")</f>
        <v>Élan Vital</v>
      </c>
    </row>
    <row r="70">
      <c r="A70" s="0" t="str">
        <f>TRIM(Data!A2)</f>
        <v>lots of space</v>
      </c>
    </row>
    <row r="71">
      <c r="A71" s="0" t="str">
        <f>TRIM(" a" &amp; CHAR(9) &amp; "b ")</f>
        <v>a	b</v>
      </c>
    </row>
    <row r="72">
      <c r="A72" s="0" t="b">
        <f>EXACT("a","A")</f>
        <v>0</v>
      </c>
    </row>
    <row r="73">
      <c r="A73" s="0" t="b">
        <f>EXACT("a","a")</f>
        <v>1</v>
      </c>
    </row>
    <row r="74">
      <c r="A74" s="0" t="b">
        <f>EXACT(1,"1")</f>
        <v>1</v>
      </c>
    </row>
    <row r="75">
      <c r="A75" s="0" t="b">
        <f>EXACT(TRUE,"TRUE")</f>
        <v>1</v>
      </c>
    </row>
    <row r="76">
      <c r="A76" s="0" t="str">
        <f>REPT("ab",3)</f>
        <v>ababab</v>
      </c>
    </row>
    <row r="77">
      <c r="A77" s="0" t="str">
        <f>REPT("ab",0)</f>
        <v/>
      </c>
    </row>
    <row r="78">
      <c r="A78" s="0" t="e">
        <f>REPT("ab",-1)</f>
        <v>#VALUE!</v>
      </c>
    </row>
    <row r="79">
      <c r="A79" s="0" t="str">
        <f>REPT("ab",2.9)</f>
        <v>abab</v>
      </c>
    </row>
    <row r="80">
      <c r="A80" s="0" t="e">
        <f>REPT("ab",20000)</f>
        <v>#VALUE!</v>
      </c>
    </row>
    <row r="81">
      <c r="A81" s="0">
        <f>LEN(REPT("x",32767))</f>
        <v>32767</v>
      </c>
    </row>
    <row r="82">
      <c r="A82" s="0">
        <f>LEN(REPT("x",32767)&amp;"x")</f>
        <v>32767</v>
      </c>
    </row>
    <row r="83">
      <c r="A83" s="0">
        <f>LEN(REPT("😀",16383)&amp;"x")</f>
        <v>16384</v>
      </c>
    </row>
    <row r="84">
      <c r="A84" s="0" t="e">
        <f>LEN(REPT("😀",16384))</f>
        <v>#VALUE!</v>
      </c>
    </row>
    <row r="85">
      <c r="A85" s="0">
        <f>LEN(CONCATENATE(REPT("x",32767),"x"))</f>
        <v>32767</v>
      </c>
    </row>
    <row r="86">
      <c r="A86" s="0" t="e">
        <f>LEN(SUBSTITUTE(REPT("x",20000),"x","yy"))</f>
        <v>#VALUE!</v>
      </c>
    </row>
    <row r="87">
      <c r="A87" s="0">
        <f>VALUE(Data!C3)</f>
        <v>0.5</v>
      </c>
    </row>
    <row r="88">
      <c r="A88" s="0">
        <f>VALUE(Data!C4)</f>
        <v>7</v>
      </c>
    </row>
    <row r="89">
      <c r="A89" s="0">
        <f>VALUE(5)</f>
        <v>5</v>
      </c>
    </row>
    <row r="90">
      <c r="A90" s="0" t="e">
        <f>VALUE(Data!C5)</f>
        <v>#VALUE!</v>
      </c>
    </row>
    <row r="91">
      <c r="A91" s="0" t="e">
        <f>VALUE(Data!A8)</f>
        <v>#VALUE!</v>
      </c>
    </row>
    <row r="92">
      <c r="A92" s="0">
        <f>VALUE(Data!C1)</f>
      </c>
    </row>
    <row r="93">
      <c r="A93" s="0">
        <f>VALUE(Data!C2)</f>
      </c>
    </row>
    <row r="94">
      <c r="A94" s="0">
        <f>VALUE("1e3")</f>
        <v>1000</v>
      </c>
    </row>
    <row r="95">
      <c r="A95" s="0">
        <f>VALUE("-.5")</f>
        <v>-0.5</v>
      </c>
    </row>
    <row r="96">
      <c r="A96" s="0" t="e">
        <f>VALUE("")</f>
        <v>#VALUE!</v>
      </c>
    </row>
    <row r="97">
      <c r="A97" s="0" t="str">
        <f>T(Data!A1)</f>
        <v>Hello World</v>
      </c>
    </row>
    <row r="98">
      <c r="A98" s="0" t="str">
        <f>T(5)</f>
        <v/>
      </c>
    </row>
    <row r="99">
      <c r="A99" s="0" t="e">
        <f>T(Data!A9)</f>
        <v>#DIV/0!</v>
      </c>
    </row>
    <row r="100">
      <c r="A100" s="0" t="str">
        <f>T(Data!A8)</f>
        <v/>
      </c>
    </row>
    <row r="101">
      <c r="A101" s="0">
        <f>N(5)</f>
        <v>5</v>
      </c>
    </row>
    <row r="102">
      <c r="A102" s="0">
        <f>N(Data!A8)</f>
        <v>1</v>
      </c>
    </row>
    <row r="103">
      <c r="A103" s="0">
        <f>N("x")</f>
        <v>0</v>
      </c>
    </row>
    <row r="104">
      <c r="A104" s="0" t="e">
        <f>N(Data!A9)</f>
        <v>#DIV/0!</v>
      </c>
    </row>
    <row r="105">
      <c r="A105" s="0">
        <f>N(Data!A1)</f>
        <v>0</v>
      </c>
    </row>
    <row r="106">
      <c r="A106" s="0">
        <f>_xlfn.UNICODE("A")</f>
        <v>65</v>
      </c>
    </row>
    <row r="107">
      <c r="A107" s="0">
        <f>_xlfn.UNICODE(Data!A5)</f>
        <v>128512</v>
      </c>
    </row>
    <row r="108">
      <c r="A108" s="0" t="e">
        <f>_xlfn.UNICODE("")</f>
        <v>#VALUE!</v>
      </c>
    </row>
    <row r="109">
      <c r="A109" s="0">
        <f>_xlfn.UNICODE("é")</f>
        <v>233</v>
      </c>
    </row>
    <row r="110">
      <c r="A110" s="0" t="str">
        <f>_xlfn.UNICHAR(65)</f>
        <v>A</v>
      </c>
    </row>
    <row r="111">
      <c r="A111" s="0" t="str">
        <f>_xlfn.UNICHAR(233)</f>
        <v>é</v>
      </c>
    </row>
    <row r="112">
      <c r="A112" s="0" t="str">
        <f>_xlfn.UNICHAR(128512)</f>
        <v>😀</v>
      </c>
    </row>
    <row r="113">
      <c r="A113" s="0" t="e">
        <f>_xlfn.UNICHAR(55296)</f>
        <v>#N/A</v>
      </c>
    </row>
    <row r="114">
      <c r="A114" s="0" t="e">
        <f>_xlfn.UNICHAR(0)</f>
        <v>#VALUE!</v>
      </c>
    </row>
    <row r="115">
      <c r="A115" s="0" t="e">
        <f>_xlfn.UNICHAR(1114112)</f>
        <v>#VALUE!</v>
      </c>
    </row>
    <row r="116">
      <c r="A116" s="0" t="str">
        <f>_xlfn.UNICHAR(65.9)</f>
        <v>A</v>
      </c>
    </row>
    <row r="117">
      <c r="A117" s="0" t="str">
        <f>CHAR(65)</f>
        <v>A</v>
      </c>
    </row>
    <row r="118">
      <c r="A118" s="0" t="str">
        <f>CHAR(32)</f>
        <v> </v>
      </c>
    </row>
    <row r="119">
      <c r="A119" s="0" t="str">
        <f>CHAR(126)</f>
        <v>~</v>
      </c>
    </row>
    <row r="120">
      <c r="A120" s="0">
        <f>CHAR(200)</f>
      </c>
    </row>
    <row r="121">
      <c r="A121" s="0" t="e">
        <f>CHAR(0)</f>
        <v>#VALUE!</v>
      </c>
    </row>
    <row r="122">
      <c r="A122" s="0" t="e">
        <f>CHAR(256)</f>
        <v>#VALUE!</v>
      </c>
    </row>
    <row r="123">
      <c r="A123" s="0">
        <f>CODE("A")</f>
        <v>65</v>
      </c>
    </row>
    <row r="124">
      <c r="A124" s="0">
        <f>CODE("abc")</f>
        <v>97</v>
      </c>
    </row>
    <row r="125">
      <c r="A125" s="0">
        <f>CODE("é")</f>
      </c>
    </row>
    <row r="126">
      <c r="A126" s="0" t="e">
        <f>CODE("")</f>
        <v>#VALUE!</v>
      </c>
    </row>
    <row r="127">
      <c r="A127" s="0" t="str">
        <f>CONCATENATE("a",1,TRUE)</f>
        <v>a1TRUE</v>
      </c>
    </row>
    <row r="128">
      <c r="A128" s="0" t="e">
        <f>CONCATENATE(Data!A9,"x")</f>
        <v>#DIV/0!</v>
      </c>
    </row>
    <row r="129">
      <c r="A129" s="0" t="str">
        <f>CONCATENATE("a",Data!B2,"b")</f>
        <v>ab</v>
      </c>
    </row>
    <row r="130">
      <c r="A130" s="0" t="str">
        <f>_xlfn.CONCAT(Data!B1:B3)</f>
        <v>xz</v>
      </c>
    </row>
    <row r="131">
      <c r="A131" s="0" t="str">
        <f>_xlfn.CONCAT("a",Data!B1:B3,"b")</f>
        <v>axzb</v>
      </c>
    </row>
    <row r="132">
      <c r="A132" s="0" t="e">
        <f>_xlfn.CONCAT(Data!A8:A9)</f>
        <v>#DIV/0!</v>
      </c>
    </row>
    <row r="133">
      <c r="A133" s="0" t="str">
        <f>_xlfn.CONCAT(Data!C1:D2)</f>
        <v>1,000-12abc+</v>
      </c>
    </row>
    <row r="134">
      <c r="A134" s="0" t="str">
        <f>_xlfn.TEXTJOIN(",",TRUE,Data!B1:B3)</f>
        <v>x,z</v>
      </c>
    </row>
    <row r="135">
      <c r="A135" s="0" t="str">
        <f>_xlfn.TEXTJOIN(",",FALSE,Data!B1:B3)</f>
        <v>x,,z</v>
      </c>
    </row>
    <row r="136">
      <c r="A136" s="0" t="str">
        <f>_xlfn.TEXTJOIN(",",TRUE,"a","","b")</f>
        <v>a,b</v>
      </c>
    </row>
    <row r="137">
      <c r="A137" s="0" t="str">
        <f>_xlfn.TEXTJOIN(",",FALSE,"a","","b")</f>
        <v>a,,b</v>
      </c>
    </row>
    <row r="138">
      <c r="A138" s="0" t="str">
        <f>_xlfn.TEXTJOIN("",FALSE,Data!B1:B3)</f>
        <v>xz</v>
      </c>
    </row>
    <row r="139">
      <c r="A139" s="0" t="str">
        <f>_xlfn.TEXTJOIN(Data!D1:D2,TRUE,"a","b","c")</f>
        <v>a-b+c</v>
      </c>
    </row>
    <row r="140">
      <c r="A140" s="0" t="e">
        <f>_xlfn.TEXTJOIN(",",TRUE,Data!A9)</f>
        <v>#DIV/0!</v>
      </c>
    </row>
    <row r="141">
      <c r="A141" s="0" t="str">
        <f>_xlfn.TEXTJOIN(", ",TRUE,Data!C1:D2)</f>
        <v>1,000, -, 12abc, +</v>
      </c>
    </row>
    <row r="142">
      <c r="A142" s="0">
        <f>LEN(_xlfn.TEXTJOIN(",",FALSE,Data!B:B))</f>
      </c>
    </row>
    <row r="143">
      <c r="A143" s="0" t="str">
        <f>TEXT(1234.5,"#,##0.00")</f>
        <v>1,234.50</v>
      </c>
    </row>
    <row r="144">
      <c r="A144" s="0" t="str">
        <f>TEXT(0.256,"0.0%")</f>
        <v>25.6%</v>
      </c>
    </row>
    <row r="145">
      <c r="A145" s="0" t="str">
        <f>TEXT(45292,"yyyy-mm-dd")</f>
        <v>2024-01-01</v>
      </c>
    </row>
    <row r="146">
      <c r="A146" s="0" t="str">
        <f>TEXT(45292,"dddd, mmmm d")</f>
        <v>Monday, January 1</v>
      </c>
    </row>
    <row r="147">
      <c r="A147" s="0" t="str">
        <f>TEXT(45292,"ddd d mmm yy")</f>
        <v>Mon 1 Jan 24</v>
      </c>
    </row>
    <row r="148">
      <c r="A148" s="0" t="str">
        <f>TEXT(45292,"mmmmm")</f>
        <v>J</v>
      </c>
    </row>
    <row r="149">
      <c r="A149" s="0" t="str">
        <f>TEXT(45292,"d/m/yyyy")</f>
        <v>1/1/2024</v>
      </c>
    </row>
    <row r="150">
      <c r="A150" s="0" t="str">
        <f>TEXT(60,"yyyy-mm-dd")</f>
        <v>1900-02-29</v>
      </c>
    </row>
    <row r="151">
      <c r="A151" s="0" t="str">
        <f>TEXT(0,"yyyy-mm-dd ddd")</f>
        <v>1900-01-00 Sat</v>
      </c>
    </row>
    <row r="152">
      <c r="A152" s="0" t="str">
        <f>TEXT(1,"dddd")</f>
        <v>Sunday</v>
      </c>
    </row>
    <row r="153">
      <c r="A153" s="0" t="str">
        <f>TEXT(2958465,"yyyy-mm-dd")</f>
        <v>9999-12-31</v>
      </c>
    </row>
    <row r="154">
      <c r="A154" s="0" t="str">
        <f>TEXT(0.75,"h:mm AM/PM")</f>
        <v>6:00 PM</v>
      </c>
    </row>
    <row r="155">
      <c r="A155" s="0" t="str">
        <f>TEXT(0.75,"hh:mm:ss")</f>
        <v>18:00:00</v>
      </c>
    </row>
    <row r="156">
      <c r="A156" s="0" t="str">
        <f>TEXT(0.5,"h:mm a/p")</f>
        <v>12:00 p</v>
      </c>
    </row>
    <row r="157">
      <c r="A157" s="0" t="str">
        <f>TEXT(1.5,"[h]:mm")</f>
        <v>36:00</v>
      </c>
    </row>
    <row r="158">
      <c r="A158" s="0" t="str">
        <f>TEXT(1/24,"[mm]:ss")</f>
        <v>60:00</v>
      </c>
    </row>
    <row r="159">
      <c r="A159" s="0" t="str">
        <f>TEXT(1.5/86400,"mm:ss.00")</f>
        <v>00:01.50</v>
      </c>
    </row>
    <row r="160">
      <c r="A160" s="0" t="str">
        <f>TEXT(0.99999999,"h:mm:ss")</f>
        <v>0:00:00</v>
      </c>
    </row>
    <row r="161">
      <c r="A161" s="0" t="str">
        <f>TEXT(59.6/86400,"h:mm")</f>
        <v>0:01</v>
      </c>
    </row>
    <row r="162">
      <c r="A162" s="0" t="str">
        <f>TEXT(45292.75,"yyyy-mm-dd hh:mm")</f>
        <v>2024-01-01 18:00</v>
      </c>
    </row>
    <row r="163">
      <c r="A163" s="0" t="str">
        <f>TEXT("12","0.00")</f>
        <v>12.00</v>
      </c>
    </row>
    <row r="164">
      <c r="A164" s="0" t="str">
        <f>TEXT("abc","0.00")</f>
        <v>abc</v>
      </c>
    </row>
    <row r="165">
      <c r="A165" s="0" t="str">
        <f>TEXT("abc","0;0;0;""&lt;""@""&gt;""")</f>
        <v>&lt;abc&gt;</v>
      </c>
    </row>
    <row r="166">
      <c r="A166" s="0" t="str">
        <f>TEXT(Data!A8,"0")</f>
        <v>TRUE</v>
      </c>
    </row>
    <row r="167">
      <c r="A167" s="0" t="e">
        <f>TEXT(-1,"yyyy")</f>
        <v>#VALUE!</v>
      </c>
    </row>
    <row r="168">
      <c r="A168" s="0" t="e">
        <f>TEXT(2958466,"yyyy")</f>
        <v>#VALUE!</v>
      </c>
    </row>
    <row r="169">
      <c r="A169" s="0" t="str">
        <f>TEXT(1.5,"General")</f>
        <v>1.5</v>
      </c>
    </row>
    <row r="170">
      <c r="A170" s="0" t="str">
        <f>TEXT(5,"@")</f>
        <v>5</v>
      </c>
    </row>
    <row r="171">
      <c r="A171" s="0" t="str">
        <f>TEXT(5,"")</f>
        <v/>
      </c>
    </row>
    <row r="172">
      <c r="A172" s="0" t="e">
        <f>TEXT(Data!A9,"0")</f>
        <v>#DIV/0!</v>
      </c>
    </row>
    <row r="173">
      <c r="A173" s="0" t="b">
        <f>"a"="A"</f>
        <v>1</v>
      </c>
    </row>
    <row r="174">
      <c r="A174" s="0" t="b">
        <f>"é"="É"</f>
        <v>1</v>
      </c>
    </row>
    <row r="175">
      <c r="A175" s="0" t="b">
        <f>"é"="e"</f>
        <v>0</v>
      </c>
    </row>
    <row r="176">
      <c r="A176" s="0" t="b">
        <f>"ß"="ss"</f>
        <v>1</v>
      </c>
    </row>
    <row r="177">
      <c r="A177" s="0" t="b">
        <f>"a"&lt;"B"</f>
        <v>1</v>
      </c>
    </row>
    <row r="178">
      <c r="A178" s="0" t="b">
        <f>"B"&lt;"a"</f>
        <v>0</v>
      </c>
    </row>
    <row r="179">
      <c r="A179" s="0" t="b">
        <f>"Z"&lt;"a"</f>
        <v>0</v>
      </c>
    </row>
    <row r="180">
      <c r="A180" s="0" t="b">
        <f>"-"&lt;"a"</f>
        <v>1</v>
      </c>
    </row>
    <row r="181">
      <c r="A181" s="0" t="b">
        <f>" "&lt;"0"</f>
        <v>1</v>
      </c>
    </row>
    <row r="182">
      <c r="A182" s="0" t="b">
        <f>"0"&lt;"a"</f>
        <v>1</v>
      </c>
    </row>
    <row r="183">
      <c r="A183" s="0" t="b">
        <f>"_"&lt;"a"</f>
        <v>1</v>
      </c>
    </row>
    <row r="184">
      <c r="A184" s="0" t="b">
        <f>"["&lt;"a"</f>
        <v>1</v>
      </c>
    </row>
    <row r="185">
      <c r="A185" s="0" t="b">
        <f>"~"&lt;"a"</f>
        <v>1</v>
      </c>
    </row>
    <row r="186">
      <c r="A186" s="0" t="b">
        <f>"é"&lt;"f"</f>
        <v>1</v>
      </c>
    </row>
    <row r="187">
      <c r="A187" s="0" t="b">
        <f>"e"&lt;"é"</f>
        <v>1</v>
      </c>
    </row>
    <row r="188">
      <c r="A188" s="0" t="b">
        <f>"co-op"&lt;"coop"</f>
        <v>0</v>
      </c>
    </row>
    <row r="189">
      <c r="A189" s="0" t="b">
        <f>"coop"&lt;"co-op"</f>
        <v>1</v>
      </c>
    </row>
    <row r="190">
      <c r="A190" s="0" t="b">
        <f>"a b"&lt;"ab"</f>
        <v>1</v>
      </c>
    </row>
    <row r="191">
      <c r="A191" s="0" t="b">
        <f>"a"&lt;"a "</f>
        <v>1</v>
      </c>
    </row>
    <row r="192">
      <c r="A192" s="0" t="b">
        <f>"10"&lt;"9"</f>
        <v>1</v>
      </c>
    </row>
  </sheetData>
</worksheet>
</file>

<file path=xl/worksheets/frazaro_4.xml><?xml version="1.0" encoding="utf-8"?>
<worksheet xmlns="http://schemas.openxmlformats.org/spreadsheetml/2006/main" xmlns:r="http://schemas.openxmlformats.org/officeDocument/2006/relationships">
  <dimension ref="A1:B163"/>
  <sheetViews>
    <sheetView workbookViewId="0">
      <selection activeCell="A1" sqref="A1"/>
    </sheetView>
  </sheetViews>
  <sheetFormatPr defaultRowHeight="15"/>
  <sheetData>
    <row r="1">
      <c r="A1" s="0" t="inlineStr">
        <is>
          <t xml:space="preserve"> </t>
        </is>
      </c>
      <c r="B1" s="0">
        <f>SUMPRODUCT(--($A$1:$A$163&lt;A1))</f>
      </c>
    </row>
    <row r="2">
      <c r="A2" s="0" t="inlineStr">
        <is>
          <t xml:space="preserve">!</t>
        </is>
      </c>
      <c r="B2" s="0">
        <f>SUMPRODUCT(--($A$1:$A$163&lt;A2))</f>
      </c>
    </row>
    <row r="3">
      <c r="A3" s="0" t="inlineStr">
        <is>
          <t xml:space="preserve">"</t>
        </is>
      </c>
      <c r="B3" s="0">
        <f>SUMPRODUCT(--($A$1:$A$163&lt;A3))</f>
      </c>
    </row>
    <row r="4">
      <c r="A4" s="0" t="inlineStr">
        <is>
          <t xml:space="preserve">#</t>
        </is>
      </c>
      <c r="B4" s="0">
        <f>SUMPRODUCT(--($A$1:$A$163&lt;A4))</f>
      </c>
    </row>
    <row r="5">
      <c r="A5" s="0" t="inlineStr">
        <is>
          <t xml:space="preserve">$</t>
        </is>
      </c>
      <c r="B5" s="0">
        <f>SUMPRODUCT(--($A$1:$A$163&lt;A5))</f>
      </c>
    </row>
    <row r="6">
      <c r="A6" s="0" t="inlineStr">
        <is>
          <t xml:space="preserve">%</t>
        </is>
      </c>
      <c r="B6" s="0">
        <f>SUMPRODUCT(--($A$1:$A$163&lt;A6))</f>
      </c>
    </row>
    <row r="7">
      <c r="A7" s="0" t="inlineStr">
        <is>
          <t xml:space="preserve">&amp;</t>
        </is>
      </c>
      <c r="B7" s="0">
        <f>SUMPRODUCT(--($A$1:$A$163&lt;A7))</f>
      </c>
    </row>
    <row r="8">
      <c r="A8" s="0" t="inlineStr">
        <is>
          <t xml:space="preserve">'</t>
        </is>
      </c>
      <c r="B8" s="0">
        <f>SUMPRODUCT(--($A$1:$A$163&lt;A8))</f>
      </c>
    </row>
    <row r="9">
      <c r="A9" s="0" t="inlineStr">
        <is>
          <t xml:space="preserve">(</t>
        </is>
      </c>
      <c r="B9" s="0">
        <f>SUMPRODUCT(--($A$1:$A$163&lt;A9))</f>
      </c>
    </row>
    <row r="10">
      <c r="A10" s="0" t="inlineStr">
        <is>
          <t xml:space="preserve">)</t>
        </is>
      </c>
      <c r="B10" s="0">
        <f>SUMPRODUCT(--($A$1:$A$163&lt;A10))</f>
      </c>
    </row>
    <row r="11">
      <c r="A11" s="0" t="inlineStr">
        <is>
          <t xml:space="preserve">*</t>
        </is>
      </c>
      <c r="B11" s="0">
        <f>SUMPRODUCT(--($A$1:$A$163&lt;A11))</f>
      </c>
    </row>
    <row r="12">
      <c r="A12" s="0" t="inlineStr">
        <is>
          <t xml:space="preserve">+</t>
        </is>
      </c>
      <c r="B12" s="0">
        <f>SUMPRODUCT(--($A$1:$A$163&lt;A12))</f>
      </c>
    </row>
    <row r="13">
      <c r="A13" s="0" t="inlineStr">
        <is>
          <t xml:space="preserve">,</t>
        </is>
      </c>
      <c r="B13" s="0">
        <f>SUMPRODUCT(--($A$1:$A$163&lt;A13))</f>
      </c>
    </row>
    <row r="14">
      <c r="A14" s="0" t="inlineStr">
        <is>
          <t xml:space="preserve">-</t>
        </is>
      </c>
      <c r="B14" s="0">
        <f>SUMPRODUCT(--($A$1:$A$163&lt;A14))</f>
      </c>
    </row>
    <row r="15">
      <c r="A15" s="0" t="inlineStr">
        <is>
          <t xml:space="preserve">.</t>
        </is>
      </c>
      <c r="B15" s="0">
        <f>SUMPRODUCT(--($A$1:$A$163&lt;A15))</f>
      </c>
    </row>
    <row r="16">
      <c r="A16" s="0" t="inlineStr">
        <is>
          <t xml:space="preserve">/</t>
        </is>
      </c>
      <c r="B16" s="0">
        <f>SUMPRODUCT(--($A$1:$A$163&lt;A16))</f>
      </c>
    </row>
    <row r="17">
      <c r="A17" s="0" t="inlineStr">
        <is>
          <t xml:space="preserve">0</t>
        </is>
      </c>
      <c r="B17" s="0">
        <f>SUMPRODUCT(--($A$1:$A$163&lt;A17))</f>
      </c>
    </row>
    <row r="18">
      <c r="A18" s="0" t="inlineStr">
        <is>
          <t xml:space="preserve">1</t>
        </is>
      </c>
      <c r="B18" s="0">
        <f>SUMPRODUCT(--($A$1:$A$163&lt;A18))</f>
      </c>
    </row>
    <row r="19">
      <c r="A19" s="0" t="inlineStr">
        <is>
          <t xml:space="preserve">2</t>
        </is>
      </c>
      <c r="B19" s="0">
        <f>SUMPRODUCT(--($A$1:$A$163&lt;A19))</f>
      </c>
    </row>
    <row r="20">
      <c r="A20" s="0" t="inlineStr">
        <is>
          <t xml:space="preserve">3</t>
        </is>
      </c>
      <c r="B20" s="0">
        <f>SUMPRODUCT(--($A$1:$A$163&lt;A20))</f>
      </c>
    </row>
    <row r="21">
      <c r="A21" s="0" t="inlineStr">
        <is>
          <t xml:space="preserve">4</t>
        </is>
      </c>
      <c r="B21" s="0">
        <f>SUMPRODUCT(--($A$1:$A$163&lt;A21))</f>
      </c>
    </row>
    <row r="22">
      <c r="A22" s="0" t="inlineStr">
        <is>
          <t xml:space="preserve">5</t>
        </is>
      </c>
      <c r="B22" s="0">
        <f>SUMPRODUCT(--($A$1:$A$163&lt;A22))</f>
      </c>
    </row>
    <row r="23">
      <c r="A23" s="0" t="inlineStr">
        <is>
          <t xml:space="preserve">6</t>
        </is>
      </c>
      <c r="B23" s="0">
        <f>SUMPRODUCT(--($A$1:$A$163&lt;A23))</f>
      </c>
    </row>
    <row r="24">
      <c r="A24" s="0" t="inlineStr">
        <is>
          <t xml:space="preserve">7</t>
        </is>
      </c>
      <c r="B24" s="0">
        <f>SUMPRODUCT(--($A$1:$A$163&lt;A24))</f>
      </c>
    </row>
    <row r="25">
      <c r="A25" s="0" t="inlineStr">
        <is>
          <t xml:space="preserve">8</t>
        </is>
      </c>
      <c r="B25" s="0">
        <f>SUMPRODUCT(--($A$1:$A$163&lt;A25))</f>
      </c>
    </row>
    <row r="26">
      <c r="A26" s="0" t="inlineStr">
        <is>
          <t xml:space="preserve">9</t>
        </is>
      </c>
      <c r="B26" s="0">
        <f>SUMPRODUCT(--($A$1:$A$163&lt;A26))</f>
      </c>
    </row>
    <row r="27">
      <c r="A27" s="0" t="inlineStr">
        <is>
          <t xml:space="preserve">:</t>
        </is>
      </c>
      <c r="B27" s="0">
        <f>SUMPRODUCT(--($A$1:$A$163&lt;A27))</f>
      </c>
    </row>
    <row r="28">
      <c r="A28" s="0" t="inlineStr">
        <is>
          <t xml:space="preserve">;</t>
        </is>
      </c>
      <c r="B28" s="0">
        <f>SUMPRODUCT(--($A$1:$A$163&lt;A28))</f>
      </c>
    </row>
    <row r="29">
      <c r="A29" s="0" t="inlineStr">
        <is>
          <t xml:space="preserve">&lt;</t>
        </is>
      </c>
      <c r="B29" s="0">
        <f>SUMPRODUCT(--($A$1:$A$163&lt;A29))</f>
      </c>
    </row>
    <row r="30">
      <c r="A30" s="0" t="inlineStr">
        <is>
          <t xml:space="preserve">=</t>
        </is>
      </c>
      <c r="B30" s="0">
        <f>SUMPRODUCT(--($A$1:$A$163&lt;A30))</f>
      </c>
    </row>
    <row r="31">
      <c r="A31" s="0" t="inlineStr">
        <is>
          <t xml:space="preserve">&gt;</t>
        </is>
      </c>
      <c r="B31" s="0">
        <f>SUMPRODUCT(--($A$1:$A$163&lt;A31))</f>
      </c>
    </row>
    <row r="32">
      <c r="A32" s="0" t="inlineStr">
        <is>
          <t xml:space="preserve">?</t>
        </is>
      </c>
      <c r="B32" s="0">
        <f>SUMPRODUCT(--($A$1:$A$163&lt;A32))</f>
      </c>
    </row>
    <row r="33">
      <c r="A33" s="0" t="inlineStr">
        <is>
          <t xml:space="preserve">@</t>
        </is>
      </c>
      <c r="B33" s="0">
        <f>SUMPRODUCT(--($A$1:$A$163&lt;A33))</f>
      </c>
    </row>
    <row r="34">
      <c r="A34" s="0" t="inlineStr">
        <is>
          <t xml:space="preserve">A</t>
        </is>
      </c>
      <c r="B34" s="0">
        <f>SUMPRODUCT(--($A$1:$A$163&lt;A34))</f>
      </c>
    </row>
    <row r="35">
      <c r="A35" s="0" t="inlineStr">
        <is>
          <t xml:space="preserve">B</t>
        </is>
      </c>
      <c r="B35" s="0">
        <f>SUMPRODUCT(--($A$1:$A$163&lt;A35))</f>
      </c>
    </row>
    <row r="36">
      <c r="A36" s="0" t="inlineStr">
        <is>
          <t xml:space="preserve">C</t>
        </is>
      </c>
      <c r="B36" s="0">
        <f>SUMPRODUCT(--($A$1:$A$163&lt;A36))</f>
      </c>
    </row>
    <row r="37">
      <c r="A37" s="0" t="inlineStr">
        <is>
          <t xml:space="preserve">D</t>
        </is>
      </c>
      <c r="B37" s="0">
        <f>SUMPRODUCT(--($A$1:$A$163&lt;A37))</f>
      </c>
    </row>
    <row r="38">
      <c r="A38" s="0" t="inlineStr">
        <is>
          <t xml:space="preserve">E</t>
        </is>
      </c>
      <c r="B38" s="0">
        <f>SUMPRODUCT(--($A$1:$A$163&lt;A38))</f>
      </c>
    </row>
    <row r="39">
      <c r="A39" s="0" t="inlineStr">
        <is>
          <t xml:space="preserve">F</t>
        </is>
      </c>
      <c r="B39" s="0">
        <f>SUMPRODUCT(--($A$1:$A$163&lt;A39))</f>
      </c>
    </row>
    <row r="40">
      <c r="A40" s="0" t="inlineStr">
        <is>
          <t xml:space="preserve">G</t>
        </is>
      </c>
      <c r="B40" s="0">
        <f>SUMPRODUCT(--($A$1:$A$163&lt;A40))</f>
      </c>
    </row>
    <row r="41">
      <c r="A41" s="0" t="inlineStr">
        <is>
          <t xml:space="preserve">H</t>
        </is>
      </c>
      <c r="B41" s="0">
        <f>SUMPRODUCT(--($A$1:$A$163&lt;A41))</f>
      </c>
    </row>
    <row r="42">
      <c r="A42" s="0" t="inlineStr">
        <is>
          <t xml:space="preserve">I</t>
        </is>
      </c>
      <c r="B42" s="0">
        <f>SUMPRODUCT(--($A$1:$A$163&lt;A42))</f>
      </c>
    </row>
    <row r="43">
      <c r="A43" s="0" t="inlineStr">
        <is>
          <t xml:space="preserve">J</t>
        </is>
      </c>
      <c r="B43" s="0">
        <f>SUMPRODUCT(--($A$1:$A$163&lt;A43))</f>
      </c>
    </row>
    <row r="44">
      <c r="A44" s="0" t="inlineStr">
        <is>
          <t xml:space="preserve">K</t>
        </is>
      </c>
      <c r="B44" s="0">
        <f>SUMPRODUCT(--($A$1:$A$163&lt;A44))</f>
      </c>
    </row>
    <row r="45">
      <c r="A45" s="0" t="inlineStr">
        <is>
          <t xml:space="preserve">L</t>
        </is>
      </c>
      <c r="B45" s="0">
        <f>SUMPRODUCT(--($A$1:$A$163&lt;A45))</f>
      </c>
    </row>
    <row r="46">
      <c r="A46" s="0" t="inlineStr">
        <is>
          <t xml:space="preserve">M</t>
        </is>
      </c>
      <c r="B46" s="0">
        <f>SUMPRODUCT(--($A$1:$A$163&lt;A46))</f>
      </c>
    </row>
    <row r="47">
      <c r="A47" s="0" t="inlineStr">
        <is>
          <t xml:space="preserve">N</t>
        </is>
      </c>
      <c r="B47" s="0">
        <f>SUMPRODUCT(--($A$1:$A$163&lt;A47))</f>
      </c>
    </row>
    <row r="48">
      <c r="A48" s="0" t="inlineStr">
        <is>
          <t xml:space="preserve">O</t>
        </is>
      </c>
      <c r="B48" s="0">
        <f>SUMPRODUCT(--($A$1:$A$163&lt;A48))</f>
      </c>
    </row>
    <row r="49">
      <c r="A49" s="0" t="inlineStr">
        <is>
          <t xml:space="preserve">P</t>
        </is>
      </c>
      <c r="B49" s="0">
        <f>SUMPRODUCT(--($A$1:$A$163&lt;A49))</f>
      </c>
    </row>
    <row r="50">
      <c r="A50" s="0" t="inlineStr">
        <is>
          <t xml:space="preserve">Q</t>
        </is>
      </c>
      <c r="B50" s="0">
        <f>SUMPRODUCT(--($A$1:$A$163&lt;A50))</f>
      </c>
    </row>
    <row r="51">
      <c r="A51" s="0" t="inlineStr">
        <is>
          <t xml:space="preserve">R</t>
        </is>
      </c>
      <c r="B51" s="0">
        <f>SUMPRODUCT(--($A$1:$A$163&lt;A51))</f>
      </c>
    </row>
    <row r="52">
      <c r="A52" s="0" t="inlineStr">
        <is>
          <t xml:space="preserve">S</t>
        </is>
      </c>
      <c r="B52" s="0">
        <f>SUMPRODUCT(--($A$1:$A$163&lt;A52))</f>
      </c>
    </row>
    <row r="53">
      <c r="A53" s="0" t="inlineStr">
        <is>
          <t xml:space="preserve">T</t>
        </is>
      </c>
      <c r="B53" s="0">
        <f>SUMPRODUCT(--($A$1:$A$163&lt;A53))</f>
      </c>
    </row>
    <row r="54">
      <c r="A54" s="0" t="inlineStr">
        <is>
          <t xml:space="preserve">U</t>
        </is>
      </c>
      <c r="B54" s="0">
        <f>SUMPRODUCT(--($A$1:$A$163&lt;A54))</f>
      </c>
    </row>
    <row r="55">
      <c r="A55" s="0" t="inlineStr">
        <is>
          <t xml:space="preserve">V</t>
        </is>
      </c>
      <c r="B55" s="0">
        <f>SUMPRODUCT(--($A$1:$A$163&lt;A55))</f>
      </c>
    </row>
    <row r="56">
      <c r="A56" s="0" t="inlineStr">
        <is>
          <t xml:space="preserve">W</t>
        </is>
      </c>
      <c r="B56" s="0">
        <f>SUMPRODUCT(--($A$1:$A$163&lt;A56))</f>
      </c>
    </row>
    <row r="57">
      <c r="A57" s="0" t="inlineStr">
        <is>
          <t xml:space="preserve">X</t>
        </is>
      </c>
      <c r="B57" s="0">
        <f>SUMPRODUCT(--($A$1:$A$163&lt;A57))</f>
      </c>
    </row>
    <row r="58">
      <c r="A58" s="0" t="inlineStr">
        <is>
          <t xml:space="preserve">Y</t>
        </is>
      </c>
      <c r="B58" s="0">
        <f>SUMPRODUCT(--($A$1:$A$163&lt;A58))</f>
      </c>
    </row>
    <row r="59">
      <c r="A59" s="0" t="inlineStr">
        <is>
          <t xml:space="preserve">Z</t>
        </is>
      </c>
      <c r="B59" s="0">
        <f>SUMPRODUCT(--($A$1:$A$163&lt;A59))</f>
      </c>
    </row>
    <row r="60">
      <c r="A60" s="0" t="inlineStr">
        <is>
          <t xml:space="preserve">[</t>
        </is>
      </c>
      <c r="B60" s="0">
        <f>SUMPRODUCT(--($A$1:$A$163&lt;A60))</f>
      </c>
    </row>
    <row r="61">
      <c r="A61" s="0" t="inlineStr">
        <is>
          <t xml:space="preserve">\</t>
        </is>
      </c>
      <c r="B61" s="0">
        <f>SUMPRODUCT(--($A$1:$A$163&lt;A61))</f>
      </c>
    </row>
    <row r="62">
      <c r="A62" s="0" t="inlineStr">
        <is>
          <t xml:space="preserve">]</t>
        </is>
      </c>
      <c r="B62" s="0">
        <f>SUMPRODUCT(--($A$1:$A$163&lt;A62))</f>
      </c>
    </row>
    <row r="63">
      <c r="A63" s="0" t="inlineStr">
        <is>
          <t xml:space="preserve">^</t>
        </is>
      </c>
      <c r="B63" s="0">
        <f>SUMPRODUCT(--($A$1:$A$163&lt;A63))</f>
      </c>
    </row>
    <row r="64">
      <c r="A64" s="0" t="inlineStr">
        <is>
          <t xml:space="preserve">_</t>
        </is>
      </c>
      <c r="B64" s="0">
        <f>SUMPRODUCT(--($A$1:$A$163&lt;A64))</f>
      </c>
    </row>
    <row r="65">
      <c r="A65" s="0" t="inlineStr">
        <is>
          <t xml:space="preserve">`</t>
        </is>
      </c>
      <c r="B65" s="0">
        <f>SUMPRODUCT(--($A$1:$A$163&lt;A65))</f>
      </c>
    </row>
    <row r="66">
      <c r="A66" s="0" t="inlineStr">
        <is>
          <t xml:space="preserve">a</t>
        </is>
      </c>
      <c r="B66" s="0">
        <f>SUMPRODUCT(--($A$1:$A$163&lt;A66))</f>
      </c>
    </row>
    <row r="67">
      <c r="A67" s="0" t="inlineStr">
        <is>
          <t xml:space="preserve">b</t>
        </is>
      </c>
      <c r="B67" s="0">
        <f>SUMPRODUCT(--($A$1:$A$163&lt;A67))</f>
      </c>
    </row>
    <row r="68">
      <c r="A68" s="0" t="inlineStr">
        <is>
          <t xml:space="preserve">c</t>
        </is>
      </c>
      <c r="B68" s="0">
        <f>SUMPRODUCT(--($A$1:$A$163&lt;A68))</f>
      </c>
    </row>
    <row r="69">
      <c r="A69" s="0" t="inlineStr">
        <is>
          <t xml:space="preserve">d</t>
        </is>
      </c>
      <c r="B69" s="0">
        <f>SUMPRODUCT(--($A$1:$A$163&lt;A69))</f>
      </c>
    </row>
    <row r="70">
      <c r="A70" s="0" t="inlineStr">
        <is>
          <t xml:space="preserve">e</t>
        </is>
      </c>
      <c r="B70" s="0">
        <f>SUMPRODUCT(--($A$1:$A$163&lt;A70))</f>
      </c>
    </row>
    <row r="71">
      <c r="A71" s="0" t="inlineStr">
        <is>
          <t xml:space="preserve">f</t>
        </is>
      </c>
      <c r="B71" s="0">
        <f>SUMPRODUCT(--($A$1:$A$163&lt;A71))</f>
      </c>
    </row>
    <row r="72">
      <c r="A72" s="0" t="inlineStr">
        <is>
          <t xml:space="preserve">g</t>
        </is>
      </c>
      <c r="B72" s="0">
        <f>SUMPRODUCT(--($A$1:$A$163&lt;A72))</f>
      </c>
    </row>
    <row r="73">
      <c r="A73" s="0" t="inlineStr">
        <is>
          <t xml:space="preserve">h</t>
        </is>
      </c>
      <c r="B73" s="0">
        <f>SUMPRODUCT(--($A$1:$A$163&lt;A73))</f>
      </c>
    </row>
    <row r="74">
      <c r="A74" s="0" t="inlineStr">
        <is>
          <t xml:space="preserve">i</t>
        </is>
      </c>
      <c r="B74" s="0">
        <f>SUMPRODUCT(--($A$1:$A$163&lt;A74))</f>
      </c>
    </row>
    <row r="75">
      <c r="A75" s="0" t="inlineStr">
        <is>
          <t xml:space="preserve">j</t>
        </is>
      </c>
      <c r="B75" s="0">
        <f>SUMPRODUCT(--($A$1:$A$163&lt;A75))</f>
      </c>
    </row>
    <row r="76">
      <c r="A76" s="0" t="inlineStr">
        <is>
          <t xml:space="preserve">k</t>
        </is>
      </c>
      <c r="B76" s="0">
        <f>SUMPRODUCT(--($A$1:$A$163&lt;A76))</f>
      </c>
    </row>
    <row r="77">
      <c r="A77" s="0" t="inlineStr">
        <is>
          <t xml:space="preserve">l</t>
        </is>
      </c>
      <c r="B77" s="0">
        <f>SUMPRODUCT(--($A$1:$A$163&lt;A77))</f>
      </c>
    </row>
    <row r="78">
      <c r="A78" s="0" t="inlineStr">
        <is>
          <t xml:space="preserve">m</t>
        </is>
      </c>
      <c r="B78" s="0">
        <f>SUMPRODUCT(--($A$1:$A$163&lt;A78))</f>
      </c>
    </row>
    <row r="79">
      <c r="A79" s="0" t="inlineStr">
        <is>
          <t xml:space="preserve">n</t>
        </is>
      </c>
      <c r="B79" s="0">
        <f>SUMPRODUCT(--($A$1:$A$163&lt;A79))</f>
      </c>
    </row>
    <row r="80">
      <c r="A80" s="0" t="inlineStr">
        <is>
          <t xml:space="preserve">o</t>
        </is>
      </c>
      <c r="B80" s="0">
        <f>SUMPRODUCT(--($A$1:$A$163&lt;A80))</f>
      </c>
    </row>
    <row r="81">
      <c r="A81" s="0" t="inlineStr">
        <is>
          <t xml:space="preserve">p</t>
        </is>
      </c>
      <c r="B81" s="0">
        <f>SUMPRODUCT(--($A$1:$A$163&lt;A81))</f>
      </c>
    </row>
    <row r="82">
      <c r="A82" s="0" t="inlineStr">
        <is>
          <t xml:space="preserve">q</t>
        </is>
      </c>
      <c r="B82" s="0">
        <f>SUMPRODUCT(--($A$1:$A$163&lt;A82))</f>
      </c>
    </row>
    <row r="83">
      <c r="A83" s="0" t="inlineStr">
        <is>
          <t xml:space="preserve">r</t>
        </is>
      </c>
      <c r="B83" s="0">
        <f>SUMPRODUCT(--($A$1:$A$163&lt;A83))</f>
      </c>
    </row>
    <row r="84">
      <c r="A84" s="0" t="inlineStr">
        <is>
          <t xml:space="preserve">s</t>
        </is>
      </c>
      <c r="B84" s="0">
        <f>SUMPRODUCT(--($A$1:$A$163&lt;A84))</f>
      </c>
    </row>
    <row r="85">
      <c r="A85" s="0" t="inlineStr">
        <is>
          <t xml:space="preserve">t</t>
        </is>
      </c>
      <c r="B85" s="0">
        <f>SUMPRODUCT(--($A$1:$A$163&lt;A85))</f>
      </c>
    </row>
    <row r="86">
      <c r="A86" s="0" t="inlineStr">
        <is>
          <t xml:space="preserve">u</t>
        </is>
      </c>
      <c r="B86" s="0">
        <f>SUMPRODUCT(--($A$1:$A$163&lt;A86))</f>
      </c>
    </row>
    <row r="87">
      <c r="A87" s="0" t="inlineStr">
        <is>
          <t xml:space="preserve">v</t>
        </is>
      </c>
      <c r="B87" s="0">
        <f>SUMPRODUCT(--($A$1:$A$163&lt;A87))</f>
      </c>
    </row>
    <row r="88">
      <c r="A88" s="0" t="inlineStr">
        <is>
          <t xml:space="preserve">w</t>
        </is>
      </c>
      <c r="B88" s="0">
        <f>SUMPRODUCT(--($A$1:$A$163&lt;A88))</f>
      </c>
    </row>
    <row r="89">
      <c r="A89" s="0" t="inlineStr">
        <is>
          <t xml:space="preserve">x</t>
        </is>
      </c>
      <c r="B89" s="0">
        <f>SUMPRODUCT(--($A$1:$A$163&lt;A89))</f>
      </c>
    </row>
    <row r="90">
      <c r="A90" s="0" t="inlineStr">
        <is>
          <t xml:space="preserve">y</t>
        </is>
      </c>
      <c r="B90" s="0">
        <f>SUMPRODUCT(--($A$1:$A$163&lt;A90))</f>
      </c>
    </row>
    <row r="91">
      <c r="A91" s="0" t="inlineStr">
        <is>
          <t xml:space="preserve">z</t>
        </is>
      </c>
      <c r="B91" s="0">
        <f>SUMPRODUCT(--($A$1:$A$163&lt;A91))</f>
      </c>
    </row>
    <row r="92">
      <c r="A92" s="0" t="inlineStr">
        <is>
          <t xml:space="preserve">{</t>
        </is>
      </c>
      <c r="B92" s="0">
        <f>SUMPRODUCT(--($A$1:$A$163&lt;A92))</f>
      </c>
    </row>
    <row r="93">
      <c r="A93" s="0" t="inlineStr">
        <is>
          <t xml:space="preserve">|</t>
        </is>
      </c>
      <c r="B93" s="0">
        <f>SUMPRODUCT(--($A$1:$A$163&lt;A93))</f>
      </c>
    </row>
    <row r="94">
      <c r="A94" s="0" t="inlineStr">
        <is>
          <t xml:space="preserve">}</t>
        </is>
      </c>
      <c r="B94" s="0">
        <f>SUMPRODUCT(--($A$1:$A$163&lt;A94))</f>
      </c>
    </row>
    <row r="95">
      <c r="A95" s="0" t="inlineStr">
        <is>
          <t xml:space="preserve">~</t>
        </is>
      </c>
      <c r="B95" s="0">
        <f>SUMPRODUCT(--($A$1:$A$163&lt;A95))</f>
      </c>
    </row>
    <row r="96">
      <c r="A96" s="0" t="inlineStr">
        <is>
          <t xml:space="preserve">é</t>
        </is>
      </c>
      <c r="B96" s="0">
        <f>SUMPRODUCT(--($A$1:$A$163&lt;A96))</f>
      </c>
    </row>
    <row r="97">
      <c r="A97" s="0" t="inlineStr">
        <is>
          <t xml:space="preserve">è</t>
        </is>
      </c>
      <c r="B97" s="0">
        <f>SUMPRODUCT(--($A$1:$A$163&lt;A97))</f>
      </c>
    </row>
    <row r="98">
      <c r="A98" s="0" t="inlineStr">
        <is>
          <t xml:space="preserve">ê</t>
        </is>
      </c>
      <c r="B98" s="0">
        <f>SUMPRODUCT(--($A$1:$A$163&lt;A98))</f>
      </c>
    </row>
    <row r="99">
      <c r="A99" s="0" t="inlineStr">
        <is>
          <t xml:space="preserve">ë</t>
        </is>
      </c>
      <c r="B99" s="0">
        <f>SUMPRODUCT(--($A$1:$A$163&lt;A99))</f>
      </c>
    </row>
    <row r="100">
      <c r="A100" s="0" t="inlineStr">
        <is>
          <t xml:space="preserve">à</t>
        </is>
      </c>
      <c r="B100" s="0">
        <f>SUMPRODUCT(--($A$1:$A$163&lt;A100))</f>
      </c>
    </row>
    <row r="101">
      <c r="A101" s="0" t="inlineStr">
        <is>
          <t xml:space="preserve">â</t>
        </is>
      </c>
      <c r="B101" s="0">
        <f>SUMPRODUCT(--($A$1:$A$163&lt;A101))</f>
      </c>
    </row>
    <row r="102">
      <c r="A102" s="0" t="inlineStr">
        <is>
          <t xml:space="preserve">ä</t>
        </is>
      </c>
      <c r="B102" s="0">
        <f>SUMPRODUCT(--($A$1:$A$163&lt;A102))</f>
      </c>
    </row>
    <row r="103">
      <c r="A103" s="0" t="inlineStr">
        <is>
          <t xml:space="preserve">å</t>
        </is>
      </c>
      <c r="B103" s="0">
        <f>SUMPRODUCT(--($A$1:$A$163&lt;A103))</f>
      </c>
    </row>
    <row r="104">
      <c r="A104" s="0" t="inlineStr">
        <is>
          <t xml:space="preserve">á</t>
        </is>
      </c>
      <c r="B104" s="0">
        <f>SUMPRODUCT(--($A$1:$A$163&lt;A104))</f>
      </c>
    </row>
    <row r="105">
      <c r="A105" s="0" t="inlineStr">
        <is>
          <t xml:space="preserve">ñ</t>
        </is>
      </c>
      <c r="B105" s="0">
        <f>SUMPRODUCT(--($A$1:$A$163&lt;A105))</f>
      </c>
    </row>
    <row r="106">
      <c r="A106" s="0" t="inlineStr">
        <is>
          <t xml:space="preserve">ç</t>
        </is>
      </c>
      <c r="B106" s="0">
        <f>SUMPRODUCT(--($A$1:$A$163&lt;A106))</f>
      </c>
    </row>
    <row r="107">
      <c r="A107" s="0" t="inlineStr">
        <is>
          <t xml:space="preserve">ö</t>
        </is>
      </c>
      <c r="B107" s="0">
        <f>SUMPRODUCT(--($A$1:$A$163&lt;A107))</f>
      </c>
    </row>
    <row r="108">
      <c r="A108" s="0" t="inlineStr">
        <is>
          <t xml:space="preserve">ô</t>
        </is>
      </c>
      <c r="B108" s="0">
        <f>SUMPRODUCT(--($A$1:$A$163&lt;A108))</f>
      </c>
    </row>
    <row r="109">
      <c r="A109" s="0" t="inlineStr">
        <is>
          <t xml:space="preserve">ò</t>
        </is>
      </c>
      <c r="B109" s="0">
        <f>SUMPRODUCT(--($A$1:$A$163&lt;A109))</f>
      </c>
    </row>
    <row r="110">
      <c r="A110" s="0" t="inlineStr">
        <is>
          <t xml:space="preserve">ø</t>
        </is>
      </c>
      <c r="B110" s="0">
        <f>SUMPRODUCT(--($A$1:$A$163&lt;A110))</f>
      </c>
    </row>
    <row r="111">
      <c r="A111" s="0" t="inlineStr">
        <is>
          <t xml:space="preserve">ü</t>
        </is>
      </c>
      <c r="B111" s="0">
        <f>SUMPRODUCT(--($A$1:$A$163&lt;A111))</f>
      </c>
    </row>
    <row r="112">
      <c r="A112" s="0" t="inlineStr">
        <is>
          <t xml:space="preserve">û</t>
        </is>
      </c>
      <c r="B112" s="0">
        <f>SUMPRODUCT(--($A$1:$A$163&lt;A112))</f>
      </c>
    </row>
    <row r="113">
      <c r="A113" s="0" t="inlineStr">
        <is>
          <t xml:space="preserve">ù</t>
        </is>
      </c>
      <c r="B113" s="0">
        <f>SUMPRODUCT(--($A$1:$A$163&lt;A113))</f>
      </c>
    </row>
    <row r="114">
      <c r="A114" s="0" t="inlineStr">
        <is>
          <t xml:space="preserve">ú</t>
        </is>
      </c>
      <c r="B114" s="0">
        <f>SUMPRODUCT(--($A$1:$A$163&lt;A114))</f>
      </c>
    </row>
    <row r="115">
      <c r="A115" s="0" t="inlineStr">
        <is>
          <t xml:space="preserve">æ</t>
        </is>
      </c>
      <c r="B115" s="0">
        <f>SUMPRODUCT(--($A$1:$A$163&lt;A115))</f>
      </c>
    </row>
    <row r="116">
      <c r="A116" s="0" t="inlineStr">
        <is>
          <t xml:space="preserve">œ</t>
        </is>
      </c>
      <c r="B116" s="0">
        <f>SUMPRODUCT(--($A$1:$A$163&lt;A116))</f>
      </c>
    </row>
    <row r="117">
      <c r="A117" s="0" t="inlineStr">
        <is>
          <t xml:space="preserve">ß</t>
        </is>
      </c>
      <c r="B117" s="0">
        <f>SUMPRODUCT(--($A$1:$A$163&lt;A117))</f>
      </c>
    </row>
    <row r="118">
      <c r="A118" s="0" t="inlineStr">
        <is>
          <t xml:space="preserve">ÿ</t>
        </is>
      </c>
      <c r="B118" s="0">
        <f>SUMPRODUCT(--($A$1:$A$163&lt;A118))</f>
      </c>
    </row>
    <row r="119">
      <c r="A119" s="0" t="inlineStr">
        <is>
          <t xml:space="preserve">ı</t>
        </is>
      </c>
      <c r="B119" s="0">
        <f>SUMPRODUCT(--($A$1:$A$163&lt;A119))</f>
      </c>
    </row>
    <row r="120">
      <c r="A120" s="0" t="inlineStr">
        <is>
          <t xml:space="preserve">İ</t>
        </is>
      </c>
      <c r="B120" s="0">
        <f>SUMPRODUCT(--($A$1:$A$163&lt;A120))</f>
      </c>
    </row>
    <row r="121">
      <c r="A121" s="0" t="inlineStr">
        <is>
          <t xml:space="preserve">×</t>
        </is>
      </c>
      <c r="B121" s="0">
        <f>SUMPRODUCT(--($A$1:$A$163&lt;A121))</f>
      </c>
    </row>
    <row r="122">
      <c r="A122" s="0" t="inlineStr">
        <is>
          <t xml:space="preserve">÷</t>
        </is>
      </c>
      <c r="B122" s="0">
        <f>SUMPRODUCT(--($A$1:$A$163&lt;A122))</f>
      </c>
    </row>
    <row r="123">
      <c r="A123" s="0" t="inlineStr">
        <is>
          <t xml:space="preserve">¿</t>
        </is>
      </c>
      <c r="B123" s="0">
        <f>SUMPRODUCT(--($A$1:$A$163&lt;A123))</f>
      </c>
    </row>
    <row r="124">
      <c r="A124" s="0" t="inlineStr">
        <is>
          <t xml:space="preserve">¡</t>
        </is>
      </c>
      <c r="B124" s="0">
        <f>SUMPRODUCT(--($A$1:$A$163&lt;A124))</f>
      </c>
    </row>
    <row r="125">
      <c r="A125" s="0" t="inlineStr">
        <is>
          <t xml:space="preserve">µ</t>
        </is>
      </c>
      <c r="B125" s="0">
        <f>SUMPRODUCT(--($A$1:$A$163&lt;A125))</f>
      </c>
    </row>
    <row r="126">
      <c r="A126" s="0" t="inlineStr">
        <is>
          <t xml:space="preserve">°</t>
        </is>
      </c>
      <c r="B126" s="0">
        <f>SUMPRODUCT(--($A$1:$A$163&lt;A126))</f>
      </c>
    </row>
    <row r="127">
      <c r="A127" s="0" t="inlineStr">
        <is>
          <t xml:space="preserve">€</t>
        </is>
      </c>
      <c r="B127" s="0">
        <f>SUMPRODUCT(--($A$1:$A$163&lt;A127))</f>
      </c>
    </row>
    <row r="128">
      <c r="A128" s="0" t="inlineStr">
        <is>
          <t xml:space="preserve">—</t>
        </is>
      </c>
      <c r="B128" s="0">
        <f>SUMPRODUCT(--($A$1:$A$163&lt;A128))</f>
      </c>
    </row>
    <row r="129">
      <c r="A129" s="0" t="inlineStr">
        <is>
          <t xml:space="preserve">’</t>
        </is>
      </c>
      <c r="B129" s="0">
        <f>SUMPRODUCT(--($A$1:$A$163&lt;A129))</f>
      </c>
    </row>
    <row r="130">
      <c r="A130" s="0" t="inlineStr">
        <is>
          <t xml:space="preserve"> </t>
        </is>
      </c>
      <c r="B130" s="0">
        <f>SUMPRODUCT(--($A$1:$A$163&lt;A130))</f>
      </c>
    </row>
    <row r="131">
      <c r="A131" s="0" t="inlineStr">
        <is>
          <t xml:space="preserve">Ω</t>
        </is>
      </c>
      <c r="B131" s="0">
        <f>SUMPRODUCT(--($A$1:$A$163&lt;A131))</f>
      </c>
    </row>
    <row r="132">
      <c r="A132" s="0" t="inlineStr">
        <is>
          <t xml:space="preserve">α</t>
        </is>
      </c>
      <c r="B132" s="0">
        <f>SUMPRODUCT(--($A$1:$A$163&lt;A132))</f>
      </c>
    </row>
    <row r="133">
      <c r="A133" s="0" t="inlineStr">
        <is>
          <t xml:space="preserve">Ж</t>
        </is>
      </c>
      <c r="B133" s="0">
        <f>SUMPRODUCT(--($A$1:$A$163&lt;A133))</f>
      </c>
    </row>
    <row r="134">
      <c r="A134" s="0" t="inlineStr">
        <is>
          <t xml:space="preserve">日</t>
        </is>
      </c>
      <c r="B134" s="0">
        <f>SUMPRODUCT(--($A$1:$A$163&lt;A134))</f>
      </c>
    </row>
    <row r="135">
      <c r="A135" s="0" t="inlineStr">
        <is>
          <t xml:space="preserve">😀</t>
        </is>
      </c>
      <c r="B135" s="0">
        <f>SUMPRODUCT(--($A$1:$A$163&lt;A135))</f>
      </c>
    </row>
    <row r="136">
      <c r="A136" s="0" t="inlineStr">
        <is>
          <t xml:space="preserve">co-op</t>
        </is>
      </c>
      <c r="B136" s="0">
        <f>SUMPRODUCT(--($A$1:$A$163&lt;A136))</f>
      </c>
    </row>
    <row r="137">
      <c r="A137" s="0" t="inlineStr">
        <is>
          <t xml:space="preserve">coop</t>
        </is>
      </c>
      <c r="B137" s="0">
        <f>SUMPRODUCT(--($A$1:$A$163&lt;A137))</f>
      </c>
    </row>
    <row r="138">
      <c r="A138" s="0" t="inlineStr">
        <is>
          <t xml:space="preserve">co op</t>
        </is>
      </c>
      <c r="B138" s="0">
        <f>SUMPRODUCT(--($A$1:$A$163&lt;A138))</f>
      </c>
    </row>
    <row r="139">
      <c r="A139" s="0" t="inlineStr">
        <is>
          <t xml:space="preserve">coo</t>
        </is>
      </c>
      <c r="B139" s="0">
        <f>SUMPRODUCT(--($A$1:$A$163&lt;A139))</f>
      </c>
    </row>
    <row r="140">
      <c r="A140" s="0" t="inlineStr">
        <is>
          <t xml:space="preserve">cop</t>
        </is>
      </c>
      <c r="B140" s="0">
        <f>SUMPRODUCT(--($A$1:$A$163&lt;A140))</f>
      </c>
    </row>
    <row r="141">
      <c r="A141" s="0" t="inlineStr">
        <is>
          <t xml:space="preserve">a-</t>
        </is>
      </c>
      <c r="B141" s="0">
        <f>SUMPRODUCT(--($A$1:$A$163&lt;A141))</f>
      </c>
    </row>
    <row r="142">
      <c r="A142" s="0" t="inlineStr">
        <is>
          <t xml:space="preserve">-a</t>
        </is>
      </c>
      <c r="B142" s="0">
        <f>SUMPRODUCT(--($A$1:$A$163&lt;A142))</f>
      </c>
    </row>
    <row r="143">
      <c r="A143" s="0" t="inlineStr">
        <is>
          <t xml:space="preserve">ab</t>
        </is>
      </c>
      <c r="B143" s="0">
        <f>SUMPRODUCT(--($A$1:$A$163&lt;A143))</f>
      </c>
    </row>
    <row r="144">
      <c r="A144" s="0" t="inlineStr">
        <is>
          <t xml:space="preserve">a b</t>
        </is>
      </c>
      <c r="B144" s="0">
        <f>SUMPRODUCT(--($A$1:$A$163&lt;A144))</f>
      </c>
    </row>
    <row r="145">
      <c r="A145" s="0" t="inlineStr">
        <is>
          <t xml:space="preserve">a-b</t>
        </is>
      </c>
      <c r="B145" s="0">
        <f>SUMPRODUCT(--($A$1:$A$163&lt;A145))</f>
      </c>
    </row>
    <row r="146">
      <c r="A146" s="0" t="inlineStr">
        <is>
          <t xml:space="preserve">a'b</t>
        </is>
      </c>
      <c r="B146" s="0">
        <f>SUMPRODUCT(--($A$1:$A$163&lt;A146))</f>
      </c>
    </row>
    <row r="147">
      <c r="A147" s="0" t="inlineStr">
        <is>
          <t xml:space="preserve">résumé</t>
        </is>
      </c>
      <c r="B147" s="0">
        <f>SUMPRODUCT(--($A$1:$A$163&lt;A147))</f>
      </c>
    </row>
    <row r="148">
      <c r="A148" s="0" t="inlineStr">
        <is>
          <t xml:space="preserve">resume</t>
        </is>
      </c>
      <c r="B148" s="0">
        <f>SUMPRODUCT(--($A$1:$A$163&lt;A148))</f>
      </c>
    </row>
    <row r="149">
      <c r="A149" s="0" t="inlineStr">
        <is>
          <t xml:space="preserve">Résumé</t>
        </is>
      </c>
      <c r="B149" s="0">
        <f>SUMPRODUCT(--($A$1:$A$163&lt;A149))</f>
      </c>
    </row>
    <row r="150">
      <c r="A150" s="0" t="inlineStr">
        <is>
          <t xml:space="preserve">ss</t>
        </is>
      </c>
      <c r="B150" s="0">
        <f>SUMPRODUCT(--($A$1:$A$163&lt;A150))</f>
      </c>
    </row>
    <row r="151">
      <c r="A151" s="0" t="inlineStr">
        <is>
          <t xml:space="preserve">st</t>
        </is>
      </c>
      <c r="B151" s="0">
        <f>SUMPRODUCT(--($A$1:$A$163&lt;A151))</f>
      </c>
    </row>
    <row r="152">
      <c r="A152" s="0" t="inlineStr">
        <is>
          <t xml:space="preserve">ae</t>
        </is>
      </c>
      <c r="B152" s="0">
        <f>SUMPRODUCT(--($A$1:$A$163&lt;A152))</f>
      </c>
    </row>
    <row r="153">
      <c r="A153" s="0" t="inlineStr">
        <is>
          <t xml:space="preserve">af</t>
        </is>
      </c>
      <c r="B153" s="0">
        <f>SUMPRODUCT(--($A$1:$A$163&lt;A153))</f>
      </c>
    </row>
    <row r="154">
      <c r="A154" s="0" t="inlineStr">
        <is>
          <t xml:space="preserve">10</t>
        </is>
      </c>
      <c r="B154" s="0">
        <f>SUMPRODUCT(--($A$1:$A$163&lt;A154))</f>
      </c>
    </row>
    <row r="155">
      <c r="A155" s="0" t="inlineStr">
        <is>
          <t xml:space="preserve">2</t>
        </is>
      </c>
      <c r="B155" s="0">
        <f>SUMPRODUCT(--($A$1:$A$163&lt;A155))</f>
      </c>
    </row>
    <row r="156">
      <c r="A156" s="0" t="inlineStr">
        <is>
          <t xml:space="preserve">A1</t>
        </is>
      </c>
      <c r="B156" s="0">
        <f>SUMPRODUCT(--($A$1:$A$163&lt;A156))</f>
      </c>
    </row>
    <row r="157">
      <c r="A157" s="0" t="inlineStr">
        <is>
          <t xml:space="preserve">A10</t>
        </is>
      </c>
      <c r="B157" s="0">
        <f>SUMPRODUCT(--($A$1:$A$163&lt;A157))</f>
      </c>
    </row>
    <row r="158">
      <c r="A158" s="0" t="inlineStr">
        <is>
          <t xml:space="preserve">A2</t>
        </is>
      </c>
      <c r="B158" s="0">
        <f>SUMPRODUCT(--($A$1:$A$163&lt;A158))</f>
      </c>
    </row>
    <row r="159">
      <c r="A159" s="0" t="inlineStr">
        <is>
          <t xml:space="preserve">a1</t>
        </is>
      </c>
      <c r="B159" s="0">
        <f>SUMPRODUCT(--($A$1:$A$163&lt;A159))</f>
      </c>
    </row>
    <row r="160">
      <c r="A160" s="0" t="inlineStr">
        <is>
          <t xml:space="preserve">  </t>
        </is>
      </c>
      <c r="B160" s="0">
        <f>SUMPRODUCT(--($A$1:$A$163&lt;A160))</f>
      </c>
    </row>
    <row r="161">
      <c r="A161" s="0" t="inlineStr">
        <is>
          <t xml:space="preserve">aa</t>
        </is>
      </c>
      <c r="B161" s="0">
        <f>SUMPRODUCT(--($A$1:$A$163&lt;A161))</f>
      </c>
    </row>
    <row r="162">
      <c r="A162" s="0" t="inlineStr">
        <is>
          <t xml:space="preserve">aA</t>
        </is>
      </c>
      <c r="B162" s="0">
        <f>SUMPRODUCT(--($A$1:$A$163&lt;A162))</f>
      </c>
    </row>
    <row r="163">
      <c r="A163" s="0" t="inlineStr">
        <is>
          <t xml:space="preserve">Aa</t>
        </is>
      </c>
      <c r="B163" s="0">
        <f>SUMPRODUCT(--($A$1:$A$163&lt;A163))</f>
      </c>
    </row>
  </sheetData>
</worksheet>
</file>

<file path=docProps/app.xml><?xml version="1.0" encoding="utf-8"?>
<Properties xmlns="http://schemas.openxmlformats.org/officeDocument/2006/extended-properties">
  <Application>Frazaro</Application>
</Properties>
</file>

<file path=docProps/core.xml><?xml version="1.0" encoding="utf-8"?>
<cp:coreProperties xmlns:cp="http://schemas.openxmlformats.org/package/2006/metadata/core-properties"/>
</file>