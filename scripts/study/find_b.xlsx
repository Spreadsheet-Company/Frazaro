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225" activeTab="0"/>
  </bookViews>
  <sheets>
    <sheet name="Inputs" sheetId="1" r:id="rId1"/>
    <sheet name="Sales" sheetId="2" r:id="rId2"/>
    <sheet name="Summary" sheetId="3" r:id="rId3"/>
  </sheets>
  <definedNames>
    <definedName name="FixedCost">Inputs!$B$4</definedName>
    <definedName name="Price">Inputs!$B$2</definedName>
    <definedName name="UnitCost">Inputs!$B$3</definedName>
  </definedNames>
  <calcPr calcId="191029"/>
</workbook>
</file>

<file path=xl/sharedStrings.xml><?xml version="1.0" encoding="utf-8"?>
<sst xmlns="http://schemas.openxmlformats.org/spreadsheetml/2006/main" count="33" uniqueCount="31">
  <si>
    <t>Assumption</t>
  </si>
  <si>
    <t>Value</t>
  </si>
  <si>
    <t>Unit price</t>
  </si>
  <si>
    <t>Unit cost</t>
  </si>
  <si>
    <t>Fixed cost per month</t>
  </si>
  <si>
    <t>Month</t>
  </si>
  <si>
    <t>Units</t>
  </si>
  <si>
    <t>Price</t>
  </si>
  <si>
    <t>Revenue</t>
  </si>
  <si>
    <t>Cost</t>
  </si>
  <si>
    <t>Margin</t>
  </si>
  <si>
    <t>Margin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</si>
  <si>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</si>
  <si>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</si>
  <si>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</si>
  <si>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</si>
  <si>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</si>
  <si>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</si>
  <si>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</si>
  <si>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</si>
  <si>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</si>
  <si>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</si>
  <si>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</si>
  <si>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</si>
  <si>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</si>
  <si>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Measure</t>
  </si>
  <si>
    <t>Total revenue</t>
  </si>
  <si>
    <t>Total cost</t>
  </si>
  <si>
    <t>Total margin</t>
  </si>
  <si>
    <t>Fixed costs for the year</t>
  </si>
  <si>
    <t>Operating income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</si>
</sst>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50</v>
      </c>
    </row>
    <row r="3">
      <c r="A3" t="s">
        <v>3</v>
      </c>
      <c r="B3">
        <v>30</v>
      </c>
    </row>
    <row r="4">
      <c r="A4" t="s">
        <v>4</v>
      </c>
      <c r="B4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</row>
    <row r="2">
      <c r="A2" t="s">
        <v>12</v>
      </c>
      <c r="B2">
        <v>90</v>
      </c>
      <c r="C2">
        <f>Price</f>
        <v>50</v>
      </c>
      <c r="D2">
        <f>B2*C2</f>
        <v>4500</v>
      </c>
      <c r="E2">
        <f>UnitCost</f>
        <v>30</v>
      </c>
      <c r="F2">
        <f>B2*E2</f>
        <v>2700</v>
      </c>
      <c r="G2">
        <f>D2+F2</f>
        <v>7200</v>
      </c>
      <c r="H2">
        <f>G2/D2</f>
        <v>1.6</v>
      </c>
    </row>
    <row r="3">
      <c r="A3" t="s">
        <v>13</v>
      </c>
      <c r="B3">
        <v>95</v>
      </c>
      <c r="C3">
        <f>Price</f>
        <v>50</v>
      </c>
      <c r="D3">
        <f>B3*C3</f>
        <v>4750</v>
      </c>
      <c r="E3">
        <f>UnitCost</f>
        <v>30</v>
      </c>
      <c r="F3">
        <f>B3*E3</f>
        <v>2850</v>
      </c>
      <c r="G3">
        <f>D3+F3</f>
        <v>7600</v>
      </c>
      <c r="H3">
        <f>G3/D3</f>
        <v>1.6</v>
      </c>
    </row>
    <row r="4">
      <c r="A4" t="s">
        <v>14</v>
      </c>
      <c r="B4">
        <v>110</v>
      </c>
      <c r="C4">
        <f>Price</f>
        <v>50</v>
      </c>
      <c r="D4">
        <f>B3*C4</f>
        <v>4750</v>
      </c>
      <c r="E4">
        <f>UnitCost</f>
        <v>30</v>
      </c>
      <c r="F4">
        <f>B4*E4</f>
        <v>3300</v>
      </c>
      <c r="G4">
        <f>D4+F4</f>
        <v>8050</v>
      </c>
      <c r="H4">
        <f>G4/D4</f>
        <v>1.6947368421052631</v>
      </c>
    </row>
    <row r="5">
      <c r="A5" t="s">
        <v>15</v>
      </c>
      <c r="B5">
        <v>105</v>
      </c>
      <c r="C5">
        <f>Price</f>
        <v>50</v>
      </c>
      <c r="D5">
        <f>B5*C5</f>
        <v>5250</v>
      </c>
      <c r="E5">
        <f>UnitCost</f>
        <v>30</v>
      </c>
      <c r="F5">
        <f>B5*E5</f>
        <v>3150</v>
      </c>
      <c r="G5">
        <f>D5+F5</f>
        <v>8400</v>
      </c>
      <c r="H5">
        <f>G5/D5</f>
        <v>1.6</v>
      </c>
    </row>
    <row r="6">
      <c r="A6" t="s">
        <v>16</v>
      </c>
      <c r="B6">
        <v>120</v>
      </c>
      <c r="C6">
        <f>Price</f>
        <v>50</v>
      </c>
      <c r="D6">
        <f>B6*C6</f>
        <v>6000</v>
      </c>
      <c r="E6">
        <f>UnitCost</f>
        <v>30</v>
      </c>
      <c r="F6">
        <f>B6*E6</f>
        <v>3600</v>
      </c>
      <c r="G6">
        <f>D6+F6</f>
        <v>9600</v>
      </c>
      <c r="H6">
        <f>G6/D6</f>
        <v>1.6</v>
      </c>
    </row>
    <row r="7">
      <c r="A7" t="s">
        <v>17</v>
      </c>
      <c r="B7">
        <v>130</v>
      </c>
      <c r="C7">
        <f>Price</f>
        <v>50</v>
      </c>
      <c r="D7">
        <f>B7*C7</f>
        <v>6500</v>
      </c>
      <c r="E7">
        <f>UnitCost</f>
        <v>30</v>
      </c>
      <c r="F7">
        <f>B7*E7</f>
        <v>3900</v>
      </c>
      <c r="G7">
        <f>D7+F7</f>
        <v>10400</v>
      </c>
      <c r="H7">
        <f>G7/D7</f>
        <v>1.6</v>
      </c>
    </row>
    <row r="8">
      <c r="A8" t="s">
        <v>18</v>
      </c>
      <c r="B8">
        <v>125</v>
      </c>
      <c r="C8">
        <f>Price</f>
        <v>50</v>
      </c>
      <c r="D8">
        <f>B8*C8</f>
        <v>6250</v>
      </c>
      <c r="E8">
        <f>UnitCost</f>
        <v>30</v>
      </c>
      <c r="F8">
        <f>B8*E8</f>
        <v>3750</v>
      </c>
      <c r="G8">
        <f>D8+F8</f>
        <v>10000</v>
      </c>
      <c r="H8">
        <f>G8/D8</f>
        <v>1.6</v>
      </c>
    </row>
    <row r="9">
      <c r="A9" t="s">
        <v>19</v>
      </c>
      <c r="B9">
        <v>140</v>
      </c>
      <c r="C9">
        <f>Price</f>
        <v>50</v>
      </c>
      <c r="D9">
        <f>B9*C9</f>
        <v>7000</v>
      </c>
      <c r="E9">
        <f>UnitCost</f>
        <v>30</v>
      </c>
      <c r="F9">
        <f>B9*E9</f>
        <v>4200</v>
      </c>
      <c r="G9">
        <f>D9+F9</f>
        <v>11200</v>
      </c>
      <c r="H9">
        <f>G9/D9</f>
        <v>1.6</v>
      </c>
    </row>
    <row r="10">
      <c r="A10" t="s">
        <v>20</v>
      </c>
      <c r="B10">
        <v>150</v>
      </c>
      <c r="C10">
        <f>Price</f>
        <v>50</v>
      </c>
      <c r="D10">
        <f>B10*C10</f>
        <v>7500</v>
      </c>
      <c r="E10">
        <f>UnitCost</f>
        <v>30</v>
      </c>
      <c r="F10">
        <v>4000</v>
      </c>
      <c r="G10">
        <f>D10+F10</f>
        <v>11500</v>
      </c>
      <c r="H10">
        <f>G10/D10</f>
        <v>1.5333333333333334</v>
      </c>
    </row>
    <row r="11">
      <c r="A11" t="s">
        <v>21</v>
      </c>
      <c r="B11">
        <v>145</v>
      </c>
      <c r="C11">
        <f>Price</f>
        <v>50</v>
      </c>
      <c r="D11">
        <f>B11*C11</f>
        <v>7250</v>
      </c>
      <c r="E11">
        <f>UnitCost</f>
        <v>30</v>
      </c>
      <c r="F11">
        <f>B11*E11</f>
        <v>4350</v>
      </c>
      <c r="G11">
        <f>D11+F11</f>
        <v>11600</v>
      </c>
      <c r="H11">
        <f>G11/D11</f>
        <v>1.6</v>
      </c>
    </row>
    <row r="12">
      <c r="A12" t="s">
        <v>22</v>
      </c>
      <c r="B12">
        <v>160</v>
      </c>
      <c r="C12">
        <f>Price</f>
        <v>50</v>
      </c>
      <c r="D12">
        <f>B12*C12</f>
        <v>8000</v>
      </c>
      <c r="E12">
        <f>UnitCost</f>
        <v>30</v>
      </c>
      <c r="F12">
        <f>B12*E12</f>
        <v>4800</v>
      </c>
      <c r="G12">
        <f>D12+F12</f>
        <v>12800</v>
      </c>
      <c r="H12">
        <f>G12/D12</f>
        <v>1.6</v>
      </c>
    </row>
    <row r="13">
      <c r="A13" t="s">
        <v>23</v>
      </c>
      <c r="B13">
        <v>170</v>
      </c>
      <c r="C13">
        <f>Price</f>
        <v>50</v>
      </c>
      <c r="D13">
        <f>B13*C13</f>
        <v>8500</v>
      </c>
      <c r="E13">
        <f>UnitCost</f>
        <v>30</v>
      </c>
      <c r="F13">
        <f>B13*E13</f>
        <v>5100</v>
      </c>
      <c r="G13">
        <f>D13+F13</f>
        <v>13600</v>
      </c>
      <c r="H13">
        <f>G13/D13</f>
        <v>1.6</v>
      </c>
    </row>
    <row r="14">
      <c r="A14" t="s">
        <v>24</v>
      </c>
      <c r="B14">
        <f>SUM(B2:B13)</f>
        <v>1540</v>
      </c>
      <c r="D14">
        <f>SUM(D3:D13)</f>
        <v>71750</v>
      </c>
      <c r="F14">
        <f>SUM(F2:F13)</f>
        <v>45700</v>
      </c>
      <c r="H14">
        <f>G14/D14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s">
        <v>25</v>
      </c>
      <c r="B1" t="s">
        <v>1</v>
      </c>
    </row>
    <row r="2">
      <c r="A2" t="s">
        <v>26</v>
      </c>
      <c r="B2">
        <f>Sales!D14</f>
        <v>71750</v>
      </c>
    </row>
    <row r="3">
      <c r="A3" t="s">
        <v>27</v>
      </c>
      <c r="B3">
        <f>Sales!F14</f>
        <v>45700</v>
      </c>
    </row>
    <row r="4">
      <c r="A4" t="s">
        <v>28</v>
      </c>
      <c r="B4">
        <f>Sales!G14</f>
        <v>0</v>
      </c>
    </row>
    <row r="5">
      <c r="A5" t="s">
        <v>29</v>
      </c>
      <c r="B5">
        <f>FixedCost*12</f>
        <v>14400</v>
      </c>
    </row>
    <row r="6">
      <c r="A6" t="s">
        <v>30</v>
      </c>
      <c r="B6">
        <f>B2-B3-B5</f>
        <v>11650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Frazaro study fixture</dc:creator>
  <cp:lastModifiedBy>Frazaro study fixture</cp:lastModifiedBy>
  <dcterms:created xsi:type="dcterms:W3CDTF">2026-10-08T00:00:00Z</dcterms:created>
  <dcterms:modified xsi:type="dcterms:W3CDTF">2026-10-08T00:00:00Z</dcterms:modified>
</cp:coreProperties>
</file>